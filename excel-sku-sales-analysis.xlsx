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分析" sheetId="4" r:id="rId1"/>
    <sheet name="练习数据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<sst xmlns="http://schemas.openxmlformats.org/spreadsheetml/2006/main" count="404" uniqueCount="106">
  <si>
    <t>SKU</t>
  </si>
  <si>
    <t>求和项:毛利</t>
  </si>
  <si>
    <t>求和项:销售额</t>
  </si>
  <si>
    <t>供应商</t>
  </si>
  <si>
    <t>求和项:销售数量</t>
  </si>
  <si>
    <t>N002</t>
  </si>
  <si>
    <t>A供应商</t>
  </si>
  <si>
    <t>R002</t>
  </si>
  <si>
    <t>B供应商</t>
  </si>
  <si>
    <t>R001</t>
  </si>
  <si>
    <t>C供应商</t>
  </si>
  <si>
    <t>E001</t>
  </si>
  <si>
    <t>D供应商</t>
  </si>
  <si>
    <t>B002</t>
  </si>
  <si>
    <t>总计</t>
  </si>
  <si>
    <t>N001</t>
  </si>
  <si>
    <t>B001</t>
  </si>
  <si>
    <t>E002</t>
  </si>
  <si>
    <t>品类</t>
  </si>
  <si>
    <t>项链</t>
  </si>
  <si>
    <t>戒指</t>
  </si>
  <si>
    <t>耳饰</t>
  </si>
  <si>
    <t>手链</t>
  </si>
  <si>
    <t>日期</t>
  </si>
  <si>
    <t>订单编号</t>
  </si>
  <si>
    <t>产品名称</t>
  </si>
  <si>
    <t>材质</t>
  </si>
  <si>
    <t>销售数量</t>
  </si>
  <si>
    <t>单价</t>
  </si>
  <si>
    <t>成本价</t>
  </si>
  <si>
    <t>销售额</t>
  </si>
  <si>
    <t>成本额</t>
  </si>
  <si>
    <t>毛利</t>
  </si>
  <si>
    <t>毛利率</t>
  </si>
  <si>
    <t>SO202607004</t>
  </si>
  <si>
    <t>月光开口戒</t>
  </si>
  <si>
    <t>银镀金</t>
  </si>
  <si>
    <t>SO202607032</t>
  </si>
  <si>
    <t>小珍珠耳钉</t>
  </si>
  <si>
    <t>淡水珍珠</t>
  </si>
  <si>
    <t>SO202607036</t>
  </si>
  <si>
    <t>SO202607058</t>
  </si>
  <si>
    <t>SO202607053</t>
  </si>
  <si>
    <t>SO202607012</t>
  </si>
  <si>
    <t>SO202607038</t>
  </si>
  <si>
    <t>SO202607015</t>
  </si>
  <si>
    <t>贝母手链</t>
  </si>
  <si>
    <t>贝母</t>
  </si>
  <si>
    <t>SO202607027</t>
  </si>
  <si>
    <t>珍珠锁骨链</t>
  </si>
  <si>
    <t>SO202607030</t>
  </si>
  <si>
    <t>SO202607031</t>
  </si>
  <si>
    <t>SO202607059</t>
  </si>
  <si>
    <t>SO202607042</t>
  </si>
  <si>
    <t>SO202607002</t>
  </si>
  <si>
    <t>四叶草项链</t>
  </si>
  <si>
    <t>18K金</t>
  </si>
  <si>
    <t>SO202607014</t>
  </si>
  <si>
    <t>SO202607020</t>
  </si>
  <si>
    <t>星芒细戒</t>
  </si>
  <si>
    <t>SO202607024</t>
  </si>
  <si>
    <t>SO202607037</t>
  </si>
  <si>
    <t>SO202607007</t>
  </si>
  <si>
    <t>SO202607017</t>
  </si>
  <si>
    <t>SO202607019</t>
  </si>
  <si>
    <t>SO202607021</t>
  </si>
  <si>
    <t>SO202607056</t>
  </si>
  <si>
    <t>细链手镯</t>
  </si>
  <si>
    <t>SO202607009</t>
  </si>
  <si>
    <t>SO202607022</t>
  </si>
  <si>
    <t>SO202607045</t>
  </si>
  <si>
    <t>SO202607048</t>
  </si>
  <si>
    <t>SO202607054</t>
  </si>
  <si>
    <t>SO202607010</t>
  </si>
  <si>
    <t>几何耳环</t>
  </si>
  <si>
    <t>SO202607013</t>
  </si>
  <si>
    <t>SO202607016</t>
  </si>
  <si>
    <t>SO202607060</t>
  </si>
  <si>
    <t>SO202607008</t>
  </si>
  <si>
    <t>SO202607028</t>
  </si>
  <si>
    <t>SO202607041</t>
  </si>
  <si>
    <t>SO202607051</t>
  </si>
  <si>
    <t>SO202607052</t>
  </si>
  <si>
    <t>SO202607011</t>
  </si>
  <si>
    <t>SO202607029</t>
  </si>
  <si>
    <t>SO202607044</t>
  </si>
  <si>
    <t>SO202607057</t>
  </si>
  <si>
    <t>SO202607049</t>
  </si>
  <si>
    <t>SO202607026</t>
  </si>
  <si>
    <t>SO202607033</t>
  </si>
  <si>
    <t>SO202607003</t>
  </si>
  <si>
    <t>SO202607018</t>
  </si>
  <si>
    <t>SO202607035</t>
  </si>
  <si>
    <t>SO202607039</t>
  </si>
  <si>
    <t>SO202607040</t>
  </si>
  <si>
    <t>SO202607055</t>
  </si>
  <si>
    <t>SO202607025</t>
  </si>
  <si>
    <t>SO202607046</t>
  </si>
  <si>
    <t>SO202607050</t>
  </si>
  <si>
    <t>SO202607005</t>
  </si>
  <si>
    <t>SO202607001</t>
  </si>
  <si>
    <t>SO202607006</t>
  </si>
  <si>
    <t>SO202607023</t>
  </si>
  <si>
    <t>SO202607034</t>
  </si>
  <si>
    <t>SO202607043</t>
  </si>
  <si>
    <t>SO202607047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</si>
</sst>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\¥#,##0"/>
    <numFmt numFmtId="178" formatCode="0.0%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45B7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176" fontId="1" fillId="2" borderId="0" xfId="49" applyNumberFormat="1" applyFont="1" applyFill="1" applyBorder="1" applyAlignment="1">
      <alignment horizontal="center" vertical="center"/>
    </xf>
    <xf numFmtId="0" fontId="1" fillId="2" borderId="0" xfId="49" applyNumberFormat="1" applyFont="1" applyFill="1" applyBorder="1" applyAlignment="1">
      <alignment horizontal="center" vertical="center"/>
    </xf>
    <xf numFmtId="1" fontId="1" fillId="2" borderId="0" xfId="49" applyNumberFormat="1" applyFont="1" applyFill="1" applyBorder="1" applyAlignment="1">
      <alignment horizontal="center" vertical="center"/>
    </xf>
    <xf numFmtId="177" fontId="1" fillId="2" borderId="0" xfId="49" applyNumberFormat="1" applyFont="1" applyFill="1" applyBorder="1" applyAlignment="1">
      <alignment horizontal="center" vertical="center"/>
    </xf>
    <xf numFmtId="178" fontId="1" fillId="2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color rgb="FF991B1B"/>
      </font>
      <fill>
        <patternFill patternType="solid">
          <bgColor rgb="FFFECACA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[Excel高级分析第1课_SKU销售透视表练习.xlsx]分析!数据透视表1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各 SKU 销售额与毛利对比</a:t>
            </a:r>
          </a:p>
        </c:rich>
      </c:tx>
      <c:layout>
        <c:manualLayout>
          <c:xMode val="edge"/>
          <c:yMode val="edge"/>
          <c:x val="0.289473684210526"/>
          <c:y val="0.0277777777777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61315789473684"/>
          <c:y val="0.177083333333333"/>
          <c:w val="0.673342105263158"/>
          <c:h val="0.7109722222222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分析!$B$3</c:f>
              <c:strCache>
                <c:ptCount val="1"/>
                <c:pt idx="0">
                  <c:v>求和项:毛利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分析!$A$4:$A$12</c:f>
              <c:strCache>
                <c:ptCount val="8"/>
                <c:pt idx="0">
                  <c:v>N002</c:v>
                </c:pt>
                <c:pt idx="1">
                  <c:v>R002</c:v>
                </c:pt>
                <c:pt idx="2">
                  <c:v>R001</c:v>
                </c:pt>
                <c:pt idx="3">
                  <c:v>E001</c:v>
                </c:pt>
                <c:pt idx="4">
                  <c:v>B002</c:v>
                </c:pt>
                <c:pt idx="5">
                  <c:v>N001</c:v>
                </c:pt>
                <c:pt idx="6">
                  <c:v>B001</c:v>
                </c:pt>
                <c:pt idx="7">
                  <c:v>E002</c:v>
                </c:pt>
              </c:strCache>
            </c:strRef>
          </c:cat>
          <c:val>
            <c:numRef>
              <c:f>分析!$B$4:$B$12</c:f>
              <c:numCache>
                <c:formatCode>General</c:formatCode>
                <c:ptCount val="8"/>
                <c:pt idx="0">
                  <c:v>21612.65</c:v>
                </c:pt>
                <c:pt idx="1">
                  <c:v>14340.75</c:v>
                </c:pt>
                <c:pt idx="2">
                  <c:v>11181.35</c:v>
                </c:pt>
                <c:pt idx="3">
                  <c:v>11710.6</c:v>
                </c:pt>
                <c:pt idx="4">
                  <c:v>6433</c:v>
                </c:pt>
                <c:pt idx="5">
                  <c:v>5051.4</c:v>
                </c:pt>
                <c:pt idx="6">
                  <c:v>4011.3</c:v>
                </c:pt>
                <c:pt idx="7">
                  <c:v>2238.3</c:v>
                </c:pt>
              </c:numCache>
            </c:numRef>
          </c:val>
        </c:ser>
        <c:ser>
          <c:idx val="1"/>
          <c:order val="1"/>
          <c:tx>
            <c:strRef>
              <c:f>分析!$C$3</c:f>
              <c:strCache>
                <c:ptCount val="1"/>
                <c:pt idx="0">
                  <c:v>求和项:销售额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分析!$A$4:$A$12</c:f>
              <c:strCache>
                <c:ptCount val="8"/>
                <c:pt idx="0">
                  <c:v>N002</c:v>
                </c:pt>
                <c:pt idx="1">
                  <c:v>R002</c:v>
                </c:pt>
                <c:pt idx="2">
                  <c:v>R001</c:v>
                </c:pt>
                <c:pt idx="3">
                  <c:v>E001</c:v>
                </c:pt>
                <c:pt idx="4">
                  <c:v>B002</c:v>
                </c:pt>
                <c:pt idx="5">
                  <c:v>N001</c:v>
                </c:pt>
                <c:pt idx="6">
                  <c:v>B001</c:v>
                </c:pt>
                <c:pt idx="7">
                  <c:v>E002</c:v>
                </c:pt>
              </c:strCache>
            </c:strRef>
          </c:cat>
          <c:val>
            <c:numRef>
              <c:f>分析!$C$4:$C$12</c:f>
              <c:numCache>
                <c:formatCode>General</c:formatCode>
                <c:ptCount val="8"/>
                <c:pt idx="0">
                  <c:v>43732.65</c:v>
                </c:pt>
                <c:pt idx="1">
                  <c:v>23640.75</c:v>
                </c:pt>
                <c:pt idx="2">
                  <c:v>21261.35</c:v>
                </c:pt>
                <c:pt idx="3">
                  <c:v>19710.6</c:v>
                </c:pt>
                <c:pt idx="4">
                  <c:v>13293</c:v>
                </c:pt>
                <c:pt idx="5">
                  <c:v>11171.4</c:v>
                </c:pt>
                <c:pt idx="6">
                  <c:v>8691.3</c:v>
                </c:pt>
                <c:pt idx="7">
                  <c:v>3498.3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99448960"/>
        <c:axId val="942886750"/>
      </c:barChart>
      <c:catAx>
        <c:axId val="6994489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2886750"/>
        <c:crosses val="autoZero"/>
        <c:auto val="1"/>
        <c:lblAlgn val="ctr"/>
        <c:lblOffset val="100"/>
        <c:noMultiLvlLbl val="0"/>
      </c:catAx>
      <c:valAx>
        <c:axId val="94288675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944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31750</xdr:colOff>
      <xdr:row>9</xdr:row>
      <xdr:rowOff>63500</xdr:rowOff>
    </xdr:from>
    <xdr:to>
      <xdr:col>10</xdr:col>
      <xdr:colOff>44450</xdr:colOff>
      <xdr:row>24</xdr:row>
      <xdr:rowOff>69850</xdr:rowOff>
    </xdr:to>
    <xdr:graphicFrame>
      <xdr:nvGraphicFramePr>
        <xdr:cNvPr id="2" name="图表 1"/>
        <xdr:cNvGraphicFramePr/>
      </xdr:nvGraphicFramePr>
      <xdr:xfrm>
        <a:off x="4959350" y="16637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10.5737731481" refreshedBy="李文青" recordCount="60">
  <cacheSource type="worksheet">
    <worksheetSource name="SalesData"/>
  </cacheSource>
  <cacheFields count="14">
    <cacheField name="日期" numFmtId="0">
      <sharedItems containsSemiMixedTypes="0" containsString="0" containsNumber="1" containsInteger="1" minValue="46204" maxValue="46224" count="19">
        <n v="46204"/>
        <n v="46205"/>
        <n v="46206"/>
        <n v="46207"/>
        <n v="46209"/>
        <n v="46210"/>
        <n v="46211"/>
        <n v="46212"/>
        <n v="46214"/>
        <n v="46215"/>
        <n v="46216"/>
        <n v="46217"/>
        <n v="46218"/>
        <n v="46219"/>
        <n v="46220"/>
        <n v="46221"/>
        <n v="46222"/>
        <n v="46223"/>
        <n v="46224"/>
      </sharedItems>
    </cacheField>
    <cacheField name="订单编号" numFmtId="0">
      <sharedItems count="60">
        <s v="SO202607004"/>
        <s v="SO202607032"/>
        <s v="SO202607036"/>
        <s v="SO202607058"/>
        <s v="SO202607053"/>
        <s v="SO202607012"/>
        <s v="SO202607038"/>
        <s v="SO202607015"/>
        <s v="SO202607027"/>
        <s v="SO202607030"/>
        <s v="SO202607031"/>
        <s v="SO202607059"/>
        <s v="SO202607042"/>
        <s v="SO202607002"/>
        <s v="SO202607014"/>
        <s v="SO202607020"/>
        <s v="SO202607024"/>
        <s v="SO202607037"/>
        <s v="SO202607007"/>
        <s v="SO202607017"/>
        <s v="SO202607019"/>
        <s v="SO202607021"/>
        <s v="SO202607056"/>
        <s v="SO202607009"/>
        <s v="SO202607022"/>
        <s v="SO202607045"/>
        <s v="SO202607048"/>
        <s v="SO202607054"/>
        <s v="SO202607010"/>
        <s v="SO202607013"/>
        <s v="SO202607016"/>
        <s v="SO202607060"/>
        <s v="SO202607008"/>
        <s v="SO202607028"/>
        <s v="SO202607041"/>
        <s v="SO202607051"/>
        <s v="SO202607052"/>
        <s v="SO202607011"/>
        <s v="SO202607029"/>
        <s v="SO202607044"/>
        <s v="SO202607057"/>
        <s v="SO202607049"/>
        <s v="SO202607026"/>
        <s v="SO202607033"/>
        <s v="SO202607003"/>
        <s v="SO202607018"/>
        <s v="SO202607035"/>
        <s v="SO202607039"/>
        <s v="SO202607040"/>
        <s v="SO202607055"/>
        <s v="SO202607025"/>
        <s v="SO202607046"/>
        <s v="SO202607050"/>
        <s v="SO202607005"/>
        <s v="SO202607001"/>
        <s v="SO202607006"/>
        <s v="SO202607023"/>
        <s v="SO202607034"/>
        <s v="SO202607043"/>
        <s v="SO202607047"/>
      </sharedItems>
    </cacheField>
    <cacheField name="SKU" numFmtId="0">
      <sharedItems count="8">
        <s v="R002"/>
        <s v="E001"/>
        <s v="B001"/>
        <s v="N001"/>
        <s v="N002"/>
        <s v="R001"/>
        <s v="B002"/>
        <s v="E002"/>
      </sharedItems>
    </cacheField>
    <cacheField name="品类" numFmtId="0">
      <sharedItems count="4">
        <s v="戒指"/>
        <s v="耳饰"/>
        <s v="手链"/>
        <s v="项链"/>
      </sharedItems>
    </cacheField>
    <cacheField name="产品名称" numFmtId="0">
      <sharedItems count="8">
        <s v="月光开口戒"/>
        <s v="小珍珠耳钉"/>
        <s v="贝母手链"/>
        <s v="珍珠锁骨链"/>
        <s v="四叶草项链"/>
        <s v="星芒细戒"/>
        <s v="细链手镯"/>
        <s v="几何耳环"/>
      </sharedItems>
    </cacheField>
    <cacheField name="材质" numFmtId="0">
      <sharedItems count="4">
        <s v="银镀金"/>
        <s v="淡水珍珠"/>
        <s v="贝母"/>
        <s v="18K金"/>
      </sharedItems>
    </cacheField>
    <cacheField name="供应商" numFmtId="0">
      <sharedItems count="4">
        <s v="B供应商"/>
        <s v="C供应商"/>
        <s v="D供应商"/>
        <s v="A供应商"/>
      </sharedItems>
    </cacheField>
    <cacheField name="销售数量" numFmtId="0">
      <sharedItems containsSemiMixedTypes="0" containsString="0" containsNumber="1" containsInteger="1" minValue="1" maxValue="10" count="8">
        <n v="2"/>
        <n v="10"/>
        <n v="8"/>
        <n v="1"/>
        <n v="5"/>
        <n v="4"/>
        <n v="3"/>
        <n v="6"/>
      </sharedItems>
    </cacheField>
    <cacheField name="单价" numFmtId="0">
      <sharedItems containsSemiMixedTypes="0" containsString="0" containsNumber="1" minValue="269.1" maxValue="1899" count="17">
        <n v="359.1"/>
        <n v="399"/>
        <n v="379.05"/>
        <n v="949.05"/>
        <n v="1234.05"/>
        <n v="999"/>
        <n v="1599"/>
        <n v="899"/>
        <n v="809.1"/>
        <n v="1899"/>
        <n v="299"/>
        <n v="1299"/>
        <n v="1519.05"/>
        <n v="1169.1"/>
        <n v="854.05"/>
        <n v="899.1"/>
        <n v="269.1"/>
      </sharedItems>
    </cacheField>
    <cacheField name="成本价" numFmtId="0">
      <sharedItems containsSemiMixedTypes="0" containsString="0" containsNumber="1" containsInteger="1" minValue="105" maxValue="980" count="8">
        <n v="155"/>
        <n v="160"/>
        <n v="520"/>
        <n v="680"/>
        <n v="790"/>
        <n v="420"/>
        <n v="980"/>
        <n v="105"/>
      </sharedItems>
    </cacheField>
    <cacheField name="销售额" numFmtId="0">
      <sharedItems containsSemiMixedTypes="0" containsString="0" containsNumber="1" minValue="359.1" maxValue="12152.4" count="38">
        <n v="718.2"/>
        <n v="3990"/>
        <n v="3192"/>
        <n v="379.05"/>
        <n v="1795.5"/>
        <n v="1596"/>
        <n v="1898.1"/>
        <n v="4936.2"/>
        <n v="1995"/>
        <n v="1197"/>
        <n v="2997"/>
        <n v="758.1"/>
        <n v="1599"/>
        <n v="4495"/>
        <n v="1618.2"/>
        <n v="6396"/>
        <n v="3798"/>
        <n v="399"/>
        <n v="2697"/>
        <n v="798"/>
        <n v="1196"/>
        <n v="2598"/>
        <n v="899"/>
        <n v="598"/>
        <n v="12152.4"/>
        <n v="1519.05"/>
        <n v="897"/>
        <n v="359.1"/>
        <n v="4557.15"/>
        <n v="1899"/>
        <n v="2394"/>
        <n v="1299"/>
        <n v="2338.2"/>
        <n v="1998"/>
        <n v="2562.15"/>
        <n v="1798.2"/>
        <n v="807.3"/>
        <n v="1798"/>
      </sharedItems>
    </cacheField>
    <cacheField name="成本额" numFmtId="0">
      <sharedItems containsSemiMixedTypes="0" containsString="0" containsNumber="1" containsInteger="1" minValue="155" maxValue="6320" count="28">
        <n v="310"/>
        <n v="1600"/>
        <n v="1240"/>
        <n v="155"/>
        <n v="800"/>
        <n v="620"/>
        <n v="1040"/>
        <n v="2720"/>
        <n v="480"/>
        <n v="1560"/>
        <n v="320"/>
        <n v="790"/>
        <n v="2100"/>
        <n v="840"/>
        <n v="3160"/>
        <n v="1960"/>
        <n v="1260"/>
        <n v="465"/>
        <n v="420"/>
        <n v="1360"/>
        <n v="210"/>
        <n v="6320"/>
        <n v="315"/>
        <n v="1550"/>
        <n v="2370"/>
        <n v="980"/>
        <n v="930"/>
        <n v="680"/>
      </sharedItems>
    </cacheField>
    <cacheField name="毛利" numFmtId="0">
      <sharedItems containsSemiMixedTypes="0" containsString="0" containsNumber="1" minValue="204.1" maxValue="5832.4" count="38">
        <n v="408.2"/>
        <n v="2390"/>
        <n v="1952"/>
        <n v="224.05"/>
        <n v="995.5"/>
        <n v="976"/>
        <n v="858.1"/>
        <n v="2216.2"/>
        <n v="1195"/>
        <n v="717"/>
        <n v="1437"/>
        <n v="438.1"/>
        <n v="809"/>
        <n v="2395"/>
        <n v="778.2"/>
        <n v="3236"/>
        <n v="1838"/>
        <n v="244"/>
        <n v="732"/>
        <n v="488"/>
        <n v="776"/>
        <n v="1238"/>
        <n v="479"/>
        <n v="388"/>
        <n v="5832.4"/>
        <n v="729.05"/>
        <n v="582"/>
        <n v="2440"/>
        <n v="204.1"/>
        <n v="2187.15"/>
        <n v="919"/>
        <n v="1464"/>
        <n v="619"/>
        <n v="978.2"/>
        <n v="958"/>
        <n v="1302.15"/>
        <n v="758.2"/>
        <n v="492.3"/>
      </sharedItems>
    </cacheField>
    <cacheField name="毛利率" numFmtId="0">
      <sharedItems containsSemiMixedTypes="0" containsString="0" containsNumber="1" minValue="0.418356000342144" maxValue="0.648829431438127" count="20">
        <n v="0.568365357839042"/>
        <n v="0.598997493734336"/>
        <n v="0.611528822055138"/>
        <n v="0.591082970584356"/>
        <n v="0.554441659704818"/>
        <n v="0.452083662609978"/>
        <n v="0.448968842429399"/>
        <n v="0.47947947947948"/>
        <n v="0.577892098667722"/>
        <n v="0.505941213258286"/>
        <n v="0.532814238042269"/>
        <n v="0.480904708935855"/>
        <n v="0.483938915218536"/>
        <n v="0.648829431438127"/>
        <n v="0.476520400307929"/>
        <n v="0.479938119219249"/>
        <n v="0.418356000342144"/>
        <n v="0.508225513728704"/>
        <n v="0.421643866088311"/>
        <n v="0.60981047937569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">
  <r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1"/>
    <x v="1"/>
    <x v="1"/>
  </r>
  <r>
    <x v="0"/>
    <x v="2"/>
    <x v="0"/>
    <x v="0"/>
    <x v="0"/>
    <x v="0"/>
    <x v="0"/>
    <x v="2"/>
    <x v="1"/>
    <x v="0"/>
    <x v="2"/>
    <x v="2"/>
    <x v="2"/>
    <x v="2"/>
  </r>
  <r>
    <x v="0"/>
    <x v="3"/>
    <x v="0"/>
    <x v="0"/>
    <x v="0"/>
    <x v="0"/>
    <x v="0"/>
    <x v="2"/>
    <x v="1"/>
    <x v="0"/>
    <x v="2"/>
    <x v="2"/>
    <x v="2"/>
    <x v="2"/>
  </r>
  <r>
    <x v="1"/>
    <x v="4"/>
    <x v="0"/>
    <x v="0"/>
    <x v="0"/>
    <x v="0"/>
    <x v="0"/>
    <x v="3"/>
    <x v="2"/>
    <x v="0"/>
    <x v="3"/>
    <x v="3"/>
    <x v="3"/>
    <x v="3"/>
  </r>
  <r>
    <x v="2"/>
    <x v="5"/>
    <x v="1"/>
    <x v="1"/>
    <x v="1"/>
    <x v="1"/>
    <x v="1"/>
    <x v="4"/>
    <x v="0"/>
    <x v="1"/>
    <x v="4"/>
    <x v="4"/>
    <x v="4"/>
    <x v="4"/>
  </r>
  <r>
    <x v="2"/>
    <x v="6"/>
    <x v="0"/>
    <x v="0"/>
    <x v="0"/>
    <x v="0"/>
    <x v="0"/>
    <x v="5"/>
    <x v="1"/>
    <x v="0"/>
    <x v="5"/>
    <x v="5"/>
    <x v="5"/>
    <x v="2"/>
  </r>
  <r>
    <x v="3"/>
    <x v="7"/>
    <x v="2"/>
    <x v="2"/>
    <x v="2"/>
    <x v="2"/>
    <x v="2"/>
    <x v="0"/>
    <x v="3"/>
    <x v="2"/>
    <x v="6"/>
    <x v="6"/>
    <x v="6"/>
    <x v="5"/>
  </r>
  <r>
    <x v="3"/>
    <x v="8"/>
    <x v="3"/>
    <x v="3"/>
    <x v="3"/>
    <x v="1"/>
    <x v="0"/>
    <x v="5"/>
    <x v="4"/>
    <x v="3"/>
    <x v="7"/>
    <x v="7"/>
    <x v="7"/>
    <x v="6"/>
  </r>
  <r>
    <x v="3"/>
    <x v="9"/>
    <x v="1"/>
    <x v="1"/>
    <x v="1"/>
    <x v="1"/>
    <x v="1"/>
    <x v="4"/>
    <x v="1"/>
    <x v="1"/>
    <x v="8"/>
    <x v="4"/>
    <x v="8"/>
    <x v="1"/>
  </r>
  <r>
    <x v="3"/>
    <x v="10"/>
    <x v="1"/>
    <x v="1"/>
    <x v="1"/>
    <x v="1"/>
    <x v="1"/>
    <x v="6"/>
    <x v="1"/>
    <x v="1"/>
    <x v="9"/>
    <x v="8"/>
    <x v="9"/>
    <x v="1"/>
  </r>
  <r>
    <x v="4"/>
    <x v="11"/>
    <x v="2"/>
    <x v="2"/>
    <x v="2"/>
    <x v="2"/>
    <x v="2"/>
    <x v="6"/>
    <x v="5"/>
    <x v="2"/>
    <x v="10"/>
    <x v="9"/>
    <x v="10"/>
    <x v="7"/>
  </r>
  <r>
    <x v="5"/>
    <x v="12"/>
    <x v="1"/>
    <x v="1"/>
    <x v="1"/>
    <x v="1"/>
    <x v="1"/>
    <x v="0"/>
    <x v="2"/>
    <x v="1"/>
    <x v="11"/>
    <x v="10"/>
    <x v="11"/>
    <x v="8"/>
  </r>
  <r>
    <x v="6"/>
    <x v="13"/>
    <x v="4"/>
    <x v="3"/>
    <x v="4"/>
    <x v="3"/>
    <x v="3"/>
    <x v="3"/>
    <x v="6"/>
    <x v="4"/>
    <x v="12"/>
    <x v="11"/>
    <x v="12"/>
    <x v="9"/>
  </r>
  <r>
    <x v="6"/>
    <x v="14"/>
    <x v="1"/>
    <x v="1"/>
    <x v="1"/>
    <x v="1"/>
    <x v="1"/>
    <x v="1"/>
    <x v="1"/>
    <x v="1"/>
    <x v="1"/>
    <x v="1"/>
    <x v="1"/>
    <x v="1"/>
  </r>
  <r>
    <x v="6"/>
    <x v="15"/>
    <x v="5"/>
    <x v="0"/>
    <x v="5"/>
    <x v="3"/>
    <x v="3"/>
    <x v="4"/>
    <x v="7"/>
    <x v="5"/>
    <x v="13"/>
    <x v="12"/>
    <x v="13"/>
    <x v="10"/>
  </r>
  <r>
    <x v="6"/>
    <x v="16"/>
    <x v="1"/>
    <x v="1"/>
    <x v="1"/>
    <x v="1"/>
    <x v="1"/>
    <x v="4"/>
    <x v="1"/>
    <x v="1"/>
    <x v="8"/>
    <x v="4"/>
    <x v="8"/>
    <x v="1"/>
  </r>
  <r>
    <x v="6"/>
    <x v="17"/>
    <x v="5"/>
    <x v="0"/>
    <x v="5"/>
    <x v="3"/>
    <x v="3"/>
    <x v="0"/>
    <x v="8"/>
    <x v="5"/>
    <x v="14"/>
    <x v="13"/>
    <x v="14"/>
    <x v="11"/>
  </r>
  <r>
    <x v="7"/>
    <x v="18"/>
    <x v="5"/>
    <x v="0"/>
    <x v="5"/>
    <x v="3"/>
    <x v="3"/>
    <x v="4"/>
    <x v="7"/>
    <x v="5"/>
    <x v="13"/>
    <x v="12"/>
    <x v="13"/>
    <x v="10"/>
  </r>
  <r>
    <x v="7"/>
    <x v="19"/>
    <x v="0"/>
    <x v="0"/>
    <x v="0"/>
    <x v="0"/>
    <x v="0"/>
    <x v="5"/>
    <x v="1"/>
    <x v="0"/>
    <x v="5"/>
    <x v="5"/>
    <x v="5"/>
    <x v="2"/>
  </r>
  <r>
    <x v="7"/>
    <x v="20"/>
    <x v="4"/>
    <x v="3"/>
    <x v="4"/>
    <x v="3"/>
    <x v="3"/>
    <x v="5"/>
    <x v="6"/>
    <x v="4"/>
    <x v="15"/>
    <x v="14"/>
    <x v="15"/>
    <x v="9"/>
  </r>
  <r>
    <x v="7"/>
    <x v="21"/>
    <x v="0"/>
    <x v="0"/>
    <x v="0"/>
    <x v="0"/>
    <x v="0"/>
    <x v="0"/>
    <x v="0"/>
    <x v="0"/>
    <x v="0"/>
    <x v="0"/>
    <x v="0"/>
    <x v="0"/>
  </r>
  <r>
    <x v="7"/>
    <x v="22"/>
    <x v="6"/>
    <x v="2"/>
    <x v="6"/>
    <x v="3"/>
    <x v="3"/>
    <x v="0"/>
    <x v="9"/>
    <x v="6"/>
    <x v="16"/>
    <x v="15"/>
    <x v="16"/>
    <x v="12"/>
  </r>
  <r>
    <x v="8"/>
    <x v="23"/>
    <x v="0"/>
    <x v="0"/>
    <x v="0"/>
    <x v="0"/>
    <x v="0"/>
    <x v="3"/>
    <x v="1"/>
    <x v="0"/>
    <x v="17"/>
    <x v="3"/>
    <x v="17"/>
    <x v="2"/>
  </r>
  <r>
    <x v="8"/>
    <x v="24"/>
    <x v="4"/>
    <x v="3"/>
    <x v="4"/>
    <x v="3"/>
    <x v="3"/>
    <x v="5"/>
    <x v="6"/>
    <x v="4"/>
    <x v="15"/>
    <x v="14"/>
    <x v="15"/>
    <x v="9"/>
  </r>
  <r>
    <x v="8"/>
    <x v="25"/>
    <x v="5"/>
    <x v="0"/>
    <x v="5"/>
    <x v="3"/>
    <x v="3"/>
    <x v="6"/>
    <x v="7"/>
    <x v="5"/>
    <x v="18"/>
    <x v="16"/>
    <x v="10"/>
    <x v="10"/>
  </r>
  <r>
    <x v="8"/>
    <x v="26"/>
    <x v="0"/>
    <x v="0"/>
    <x v="0"/>
    <x v="0"/>
    <x v="0"/>
    <x v="6"/>
    <x v="1"/>
    <x v="0"/>
    <x v="9"/>
    <x v="17"/>
    <x v="18"/>
    <x v="2"/>
  </r>
  <r>
    <x v="8"/>
    <x v="27"/>
    <x v="0"/>
    <x v="0"/>
    <x v="0"/>
    <x v="0"/>
    <x v="0"/>
    <x v="0"/>
    <x v="1"/>
    <x v="0"/>
    <x v="19"/>
    <x v="0"/>
    <x v="19"/>
    <x v="2"/>
  </r>
  <r>
    <x v="9"/>
    <x v="28"/>
    <x v="7"/>
    <x v="1"/>
    <x v="7"/>
    <x v="0"/>
    <x v="1"/>
    <x v="5"/>
    <x v="10"/>
    <x v="7"/>
    <x v="20"/>
    <x v="18"/>
    <x v="20"/>
    <x v="13"/>
  </r>
  <r>
    <x v="9"/>
    <x v="29"/>
    <x v="4"/>
    <x v="3"/>
    <x v="4"/>
    <x v="3"/>
    <x v="3"/>
    <x v="5"/>
    <x v="6"/>
    <x v="4"/>
    <x v="15"/>
    <x v="14"/>
    <x v="15"/>
    <x v="9"/>
  </r>
  <r>
    <x v="9"/>
    <x v="30"/>
    <x v="3"/>
    <x v="3"/>
    <x v="3"/>
    <x v="1"/>
    <x v="0"/>
    <x v="0"/>
    <x v="11"/>
    <x v="3"/>
    <x v="21"/>
    <x v="19"/>
    <x v="21"/>
    <x v="14"/>
  </r>
  <r>
    <x v="10"/>
    <x v="31"/>
    <x v="5"/>
    <x v="0"/>
    <x v="5"/>
    <x v="3"/>
    <x v="3"/>
    <x v="3"/>
    <x v="7"/>
    <x v="5"/>
    <x v="22"/>
    <x v="18"/>
    <x v="22"/>
    <x v="10"/>
  </r>
  <r>
    <x v="11"/>
    <x v="32"/>
    <x v="7"/>
    <x v="1"/>
    <x v="7"/>
    <x v="0"/>
    <x v="1"/>
    <x v="0"/>
    <x v="10"/>
    <x v="7"/>
    <x v="23"/>
    <x v="20"/>
    <x v="23"/>
    <x v="13"/>
  </r>
  <r>
    <x v="11"/>
    <x v="33"/>
    <x v="0"/>
    <x v="0"/>
    <x v="0"/>
    <x v="0"/>
    <x v="0"/>
    <x v="0"/>
    <x v="0"/>
    <x v="0"/>
    <x v="0"/>
    <x v="0"/>
    <x v="0"/>
    <x v="0"/>
  </r>
  <r>
    <x v="11"/>
    <x v="34"/>
    <x v="4"/>
    <x v="3"/>
    <x v="4"/>
    <x v="3"/>
    <x v="3"/>
    <x v="2"/>
    <x v="12"/>
    <x v="4"/>
    <x v="24"/>
    <x v="21"/>
    <x v="24"/>
    <x v="15"/>
  </r>
  <r>
    <x v="11"/>
    <x v="35"/>
    <x v="4"/>
    <x v="3"/>
    <x v="4"/>
    <x v="3"/>
    <x v="3"/>
    <x v="3"/>
    <x v="12"/>
    <x v="4"/>
    <x v="25"/>
    <x v="11"/>
    <x v="25"/>
    <x v="15"/>
  </r>
  <r>
    <x v="11"/>
    <x v="36"/>
    <x v="7"/>
    <x v="1"/>
    <x v="7"/>
    <x v="0"/>
    <x v="1"/>
    <x v="6"/>
    <x v="10"/>
    <x v="7"/>
    <x v="26"/>
    <x v="22"/>
    <x v="26"/>
    <x v="13"/>
  </r>
  <r>
    <x v="12"/>
    <x v="37"/>
    <x v="0"/>
    <x v="0"/>
    <x v="0"/>
    <x v="0"/>
    <x v="0"/>
    <x v="1"/>
    <x v="1"/>
    <x v="0"/>
    <x v="1"/>
    <x v="23"/>
    <x v="27"/>
    <x v="2"/>
  </r>
  <r>
    <x v="12"/>
    <x v="38"/>
    <x v="1"/>
    <x v="1"/>
    <x v="1"/>
    <x v="1"/>
    <x v="1"/>
    <x v="1"/>
    <x v="1"/>
    <x v="1"/>
    <x v="1"/>
    <x v="1"/>
    <x v="1"/>
    <x v="1"/>
  </r>
  <r>
    <x v="12"/>
    <x v="39"/>
    <x v="0"/>
    <x v="0"/>
    <x v="0"/>
    <x v="0"/>
    <x v="0"/>
    <x v="0"/>
    <x v="1"/>
    <x v="0"/>
    <x v="19"/>
    <x v="0"/>
    <x v="19"/>
    <x v="2"/>
  </r>
  <r>
    <x v="12"/>
    <x v="40"/>
    <x v="0"/>
    <x v="0"/>
    <x v="0"/>
    <x v="0"/>
    <x v="0"/>
    <x v="3"/>
    <x v="0"/>
    <x v="0"/>
    <x v="27"/>
    <x v="3"/>
    <x v="28"/>
    <x v="0"/>
  </r>
  <r>
    <x v="13"/>
    <x v="41"/>
    <x v="4"/>
    <x v="3"/>
    <x v="4"/>
    <x v="3"/>
    <x v="3"/>
    <x v="6"/>
    <x v="12"/>
    <x v="4"/>
    <x v="28"/>
    <x v="24"/>
    <x v="29"/>
    <x v="15"/>
  </r>
  <r>
    <x v="14"/>
    <x v="42"/>
    <x v="6"/>
    <x v="2"/>
    <x v="6"/>
    <x v="3"/>
    <x v="3"/>
    <x v="3"/>
    <x v="9"/>
    <x v="6"/>
    <x v="29"/>
    <x v="25"/>
    <x v="30"/>
    <x v="12"/>
  </r>
  <r>
    <x v="14"/>
    <x v="43"/>
    <x v="0"/>
    <x v="0"/>
    <x v="0"/>
    <x v="0"/>
    <x v="0"/>
    <x v="7"/>
    <x v="1"/>
    <x v="0"/>
    <x v="30"/>
    <x v="26"/>
    <x v="31"/>
    <x v="2"/>
  </r>
  <r>
    <x v="15"/>
    <x v="44"/>
    <x v="0"/>
    <x v="0"/>
    <x v="0"/>
    <x v="0"/>
    <x v="0"/>
    <x v="6"/>
    <x v="1"/>
    <x v="0"/>
    <x v="9"/>
    <x v="17"/>
    <x v="18"/>
    <x v="2"/>
  </r>
  <r>
    <x v="15"/>
    <x v="45"/>
    <x v="4"/>
    <x v="3"/>
    <x v="4"/>
    <x v="3"/>
    <x v="3"/>
    <x v="3"/>
    <x v="6"/>
    <x v="4"/>
    <x v="12"/>
    <x v="11"/>
    <x v="12"/>
    <x v="9"/>
  </r>
  <r>
    <x v="15"/>
    <x v="46"/>
    <x v="5"/>
    <x v="0"/>
    <x v="5"/>
    <x v="3"/>
    <x v="3"/>
    <x v="6"/>
    <x v="7"/>
    <x v="5"/>
    <x v="18"/>
    <x v="16"/>
    <x v="10"/>
    <x v="10"/>
  </r>
  <r>
    <x v="15"/>
    <x v="47"/>
    <x v="3"/>
    <x v="3"/>
    <x v="3"/>
    <x v="1"/>
    <x v="0"/>
    <x v="3"/>
    <x v="11"/>
    <x v="3"/>
    <x v="31"/>
    <x v="27"/>
    <x v="32"/>
    <x v="14"/>
  </r>
  <r>
    <x v="15"/>
    <x v="48"/>
    <x v="3"/>
    <x v="3"/>
    <x v="3"/>
    <x v="1"/>
    <x v="0"/>
    <x v="0"/>
    <x v="13"/>
    <x v="3"/>
    <x v="32"/>
    <x v="19"/>
    <x v="33"/>
    <x v="16"/>
  </r>
  <r>
    <x v="15"/>
    <x v="49"/>
    <x v="6"/>
    <x v="2"/>
    <x v="6"/>
    <x v="3"/>
    <x v="3"/>
    <x v="3"/>
    <x v="9"/>
    <x v="6"/>
    <x v="29"/>
    <x v="25"/>
    <x v="30"/>
    <x v="12"/>
  </r>
  <r>
    <x v="16"/>
    <x v="50"/>
    <x v="2"/>
    <x v="2"/>
    <x v="2"/>
    <x v="2"/>
    <x v="2"/>
    <x v="0"/>
    <x v="5"/>
    <x v="2"/>
    <x v="33"/>
    <x v="6"/>
    <x v="34"/>
    <x v="7"/>
  </r>
  <r>
    <x v="16"/>
    <x v="51"/>
    <x v="4"/>
    <x v="3"/>
    <x v="4"/>
    <x v="3"/>
    <x v="3"/>
    <x v="3"/>
    <x v="12"/>
    <x v="4"/>
    <x v="25"/>
    <x v="11"/>
    <x v="25"/>
    <x v="15"/>
  </r>
  <r>
    <x v="16"/>
    <x v="52"/>
    <x v="6"/>
    <x v="2"/>
    <x v="6"/>
    <x v="3"/>
    <x v="3"/>
    <x v="0"/>
    <x v="9"/>
    <x v="6"/>
    <x v="16"/>
    <x v="15"/>
    <x v="16"/>
    <x v="12"/>
  </r>
  <r>
    <x v="17"/>
    <x v="53"/>
    <x v="5"/>
    <x v="0"/>
    <x v="5"/>
    <x v="3"/>
    <x v="3"/>
    <x v="6"/>
    <x v="14"/>
    <x v="5"/>
    <x v="34"/>
    <x v="16"/>
    <x v="35"/>
    <x v="17"/>
  </r>
  <r>
    <x v="18"/>
    <x v="54"/>
    <x v="0"/>
    <x v="0"/>
    <x v="0"/>
    <x v="0"/>
    <x v="0"/>
    <x v="3"/>
    <x v="1"/>
    <x v="0"/>
    <x v="17"/>
    <x v="3"/>
    <x v="17"/>
    <x v="2"/>
  </r>
  <r>
    <x v="18"/>
    <x v="55"/>
    <x v="2"/>
    <x v="2"/>
    <x v="2"/>
    <x v="2"/>
    <x v="2"/>
    <x v="0"/>
    <x v="15"/>
    <x v="2"/>
    <x v="35"/>
    <x v="6"/>
    <x v="36"/>
    <x v="18"/>
  </r>
  <r>
    <x v="18"/>
    <x v="56"/>
    <x v="6"/>
    <x v="2"/>
    <x v="6"/>
    <x v="3"/>
    <x v="3"/>
    <x v="3"/>
    <x v="9"/>
    <x v="6"/>
    <x v="29"/>
    <x v="25"/>
    <x v="30"/>
    <x v="12"/>
  </r>
  <r>
    <x v="18"/>
    <x v="57"/>
    <x v="4"/>
    <x v="3"/>
    <x v="4"/>
    <x v="3"/>
    <x v="3"/>
    <x v="3"/>
    <x v="6"/>
    <x v="4"/>
    <x v="12"/>
    <x v="11"/>
    <x v="12"/>
    <x v="9"/>
  </r>
  <r>
    <x v="18"/>
    <x v="58"/>
    <x v="7"/>
    <x v="1"/>
    <x v="7"/>
    <x v="0"/>
    <x v="1"/>
    <x v="6"/>
    <x v="16"/>
    <x v="7"/>
    <x v="36"/>
    <x v="22"/>
    <x v="37"/>
    <x v="19"/>
  </r>
  <r>
    <x v="18"/>
    <x v="59"/>
    <x v="5"/>
    <x v="0"/>
    <x v="5"/>
    <x v="3"/>
    <x v="3"/>
    <x v="0"/>
    <x v="7"/>
    <x v="5"/>
    <x v="37"/>
    <x v="13"/>
    <x v="34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3:C12" firstHeaderRow="0" firstDataRow="1" firstDataCol="1"/>
  <pivotFields count="14">
    <pivotField compact="0" showAll="0"/>
    <pivotField compact="0" showAll="0"/>
    <pivotField axis="axisRow" compact="0" sortType="descending" showAll="0">
      <items count="9">
        <item x="0"/>
        <item x="5"/>
        <item x="4"/>
        <item x="3"/>
        <item x="7"/>
        <item x="1"/>
        <item x="6"/>
        <item x="2"/>
        <item t="default"/>
      </items>
      <autoSortScope>
        <pivotArea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39">
        <item x="27"/>
        <item x="3"/>
        <item x="17"/>
        <item x="23"/>
        <item x="0"/>
        <item x="11"/>
        <item x="19"/>
        <item x="36"/>
        <item x="26"/>
        <item x="22"/>
        <item x="20"/>
        <item x="9"/>
        <item x="31"/>
        <item x="25"/>
        <item x="5"/>
        <item x="12"/>
        <item x="14"/>
        <item x="4"/>
        <item x="37"/>
        <item x="35"/>
        <item x="6"/>
        <item x="29"/>
        <item x="8"/>
        <item x="33"/>
        <item x="32"/>
        <item x="30"/>
        <item x="34"/>
        <item x="21"/>
        <item x="18"/>
        <item x="10"/>
        <item x="2"/>
        <item x="16"/>
        <item x="1"/>
        <item x="13"/>
        <item x="28"/>
        <item x="7"/>
        <item x="15"/>
        <item x="24"/>
        <item t="default"/>
      </items>
    </pivotField>
    <pivotField compact="0" showAll="0"/>
    <pivotField dataField="1" compact="0" showAll="0"/>
    <pivotField compact="0" showAll="0"/>
  </pivotFields>
  <rowFields count="1">
    <field x="2"/>
  </rowFields>
  <rowItems count="9">
    <i>
      <x v="2"/>
    </i>
    <i>
      <x/>
    </i>
    <i>
      <x v="1"/>
    </i>
    <i>
      <x v="5"/>
    </i>
    <i>
      <x v="6"/>
    </i>
    <i>
      <x v="3"/>
    </i>
    <i>
      <x v="7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毛利" fld="12" baseField="0" baseItem="0"/>
    <dataField name="求和项:销售额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G3:J8" firstHeaderRow="0" firstDataRow="1" firstDataCol="1"/>
  <pivotFields count="14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ortType="descending" showAll="0">
      <items count="5">
        <item x="3"/>
        <item x="0"/>
        <item x="1"/>
        <item x="2"/>
        <item t="default"/>
      </items>
      <autoSortScope>
        <pivotArea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/>
    <pivotField compact="0" showAll="0"/>
    <pivotField compact="0" showAll="0"/>
    <pivotField dataField="1" compact="0" showAll="0"/>
    <pivotField compact="0" showAll="0"/>
    <pivotField dataField="1" compact="0" showAll="0"/>
    <pivotField compact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销售数量" fld="7" baseField="0" baseItem="0"/>
    <dataField name="求和项:毛利" fld="12" baseField="0" baseItem="0"/>
    <dataField name="求和项:销售额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16:D21" firstHeaderRow="0" firstDataRow="1" firstDataCol="1"/>
  <pivotFields count="14">
    <pivotField compact="0" showAll="0"/>
    <pivotField compact="0" showAll="0"/>
    <pivotField compact="0" showAll="0"/>
    <pivotField axis="axisRow" compact="0" sortType="descending" showAll="0">
      <items count="5">
        <item x="1"/>
        <item x="0"/>
        <item x="2"/>
        <item x="3"/>
        <item t="default"/>
      </items>
      <autoSortScope>
        <pivotArea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dataField="1" compact="0" showAll="0"/>
    <pivotField compact="0" showAll="0"/>
    <pivotField dataField="1" compact="0" showAll="0"/>
    <pivotField compact="0" showAll="0"/>
  </pivotFields>
  <rowFields count="1">
    <field x="3"/>
  </rowFields>
  <rowItems count="5">
    <i>
      <x v="3"/>
    </i>
    <i>
      <x v="1"/>
    </i>
    <i>
      <x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销售数量" fld="7" baseField="0" baseItem="0"/>
    <dataField name="求和项:毛利" fld="12" baseField="0" baseItem="0"/>
    <dataField name="求和项:销售额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SalesData" displayName="SalesData" ref="A1:N61">
  <tableColumns count="14">
    <tableColumn id="1" name="日期"/>
    <tableColumn id="2" name="订单编号"/>
    <tableColumn id="3" name="SKU"/>
    <tableColumn id="4" name="品类"/>
    <tableColumn id="5" name="产品名称"/>
    <tableColumn id="6" name="材质"/>
    <tableColumn id="7" name="供应商"/>
    <tableColumn id="8" name="销售数量"/>
    <tableColumn id="9" name="单价"/>
    <tableColumn id="10" name="成本价"/>
    <tableColumn id="11" name="销售额"/>
    <tableColumn id="12" name="成本额"/>
    <tableColumn id="13" name="毛利"/>
    <tableColumn id="14" name="毛利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33"/>
  <sheetViews>
    <sheetView tabSelected="1" workbookViewId="0">
      <selection activeCell="D5" sqref="D5"/>
    </sheetView>
  </sheetViews>
  <sheetFormatPr defaultColWidth="8" defaultRowHeight="14"/>
  <cols>
    <col min="1" max="1" width="7.33333333333333"/>
    <col min="2" max="3" width="13.3333333333333"/>
    <col min="4" max="5" width="15.3333333333333"/>
    <col min="7" max="7" width="9.16666666666667"/>
    <col min="8" max="10" width="15.3333333333333"/>
  </cols>
  <sheetData>
    <row r="3" spans="1:10">
      <c r="A3" t="s">
        <v>0</v>
      </c>
      <c r="B3" t="s">
        <v>1</v>
      </c>
      <c r="C3" t="s">
        <v>2</v>
      </c>
      <c r="D3"/>
      <c r="E3"/>
      <c r="G3" t="s">
        <v>3</v>
      </c>
      <c r="H3" t="s">
        <v>4</v>
      </c>
      <c r="I3" t="s">
        <v>1</v>
      </c>
      <c r="J3" t="s">
        <v>2</v>
      </c>
    </row>
    <row r="4" spans="1:10">
      <c r="A4" t="s">
        <v>5</v>
      </c>
      <c r="B4">
        <v>21612.65</v>
      </c>
      <c r="C4">
        <v>43732.65</v>
      </c>
      <c r="D4"/>
      <c r="E4"/>
      <c r="G4" t="s">
        <v>6</v>
      </c>
      <c r="H4">
        <v>59</v>
      </c>
      <c r="I4">
        <v>39227</v>
      </c>
      <c r="J4">
        <v>78287</v>
      </c>
    </row>
    <row r="5" spans="1:10">
      <c r="A5" t="s">
        <v>7</v>
      </c>
      <c r="B5">
        <v>14340.75</v>
      </c>
      <c r="C5">
        <v>23640.75</v>
      </c>
      <c r="D5"/>
      <c r="E5"/>
      <c r="G5" t="s">
        <v>8</v>
      </c>
      <c r="H5">
        <v>69</v>
      </c>
      <c r="I5">
        <v>19392.15</v>
      </c>
      <c r="J5">
        <v>34812.15</v>
      </c>
    </row>
    <row r="6" spans="1:10">
      <c r="A6" t="s">
        <v>9</v>
      </c>
      <c r="B6">
        <v>11181.35</v>
      </c>
      <c r="C6">
        <v>21261.35</v>
      </c>
      <c r="D6"/>
      <c r="E6"/>
      <c r="G6" t="s">
        <v>10</v>
      </c>
      <c r="H6">
        <v>62</v>
      </c>
      <c r="I6">
        <v>13948.9</v>
      </c>
      <c r="J6">
        <v>23208.9</v>
      </c>
    </row>
    <row r="7" spans="1:10">
      <c r="A7" t="s">
        <v>11</v>
      </c>
      <c r="B7">
        <v>11710.6</v>
      </c>
      <c r="C7">
        <v>19710.6</v>
      </c>
      <c r="D7"/>
      <c r="E7"/>
      <c r="G7" t="s">
        <v>12</v>
      </c>
      <c r="H7">
        <v>9</v>
      </c>
      <c r="I7">
        <v>4011.3</v>
      </c>
      <c r="J7">
        <v>8691.3</v>
      </c>
    </row>
    <row r="8" spans="1:10">
      <c r="A8" t="s">
        <v>13</v>
      </c>
      <c r="B8">
        <v>6433</v>
      </c>
      <c r="C8">
        <v>13293</v>
      </c>
      <c r="D8"/>
      <c r="E8"/>
      <c r="G8" t="s">
        <v>14</v>
      </c>
      <c r="H8">
        <v>199</v>
      </c>
      <c r="I8">
        <v>76579.35</v>
      </c>
      <c r="J8">
        <v>144999.35</v>
      </c>
    </row>
    <row r="9" spans="1:10">
      <c r="A9" t="s">
        <v>15</v>
      </c>
      <c r="B9">
        <v>5051.4</v>
      </c>
      <c r="C9">
        <v>11171.4</v>
      </c>
    </row>
    <row r="10" spans="1:10">
      <c r="A10" t="s">
        <v>16</v>
      </c>
      <c r="B10">
        <v>4011.3</v>
      </c>
      <c r="C10">
        <v>8691.3</v>
      </c>
    </row>
    <row r="11" spans="1:10">
      <c r="A11" t="s">
        <v>17</v>
      </c>
      <c r="B11">
        <v>2238.3</v>
      </c>
      <c r="C11">
        <v>3498.3</v>
      </c>
    </row>
    <row r="12" spans="1:10">
      <c r="A12" t="s">
        <v>14</v>
      </c>
      <c r="B12">
        <v>76579.35</v>
      </c>
      <c r="C12">
        <v>144999.35</v>
      </c>
    </row>
    <row r="14" ht="14.5"/>
    <row r="15" ht="14.5"/>
    <row r="16" ht="14.5" spans="1:10">
      <c r="A16" t="s">
        <v>18</v>
      </c>
      <c r="B16" t="s">
        <v>4</v>
      </c>
      <c r="C16" t="s">
        <v>1</v>
      </c>
      <c r="D16" t="s">
        <v>2</v>
      </c>
    </row>
    <row r="17" ht="14.5" spans="1:4">
      <c r="A17" t="s">
        <v>19</v>
      </c>
      <c r="B17">
        <v>37</v>
      </c>
      <c r="C17">
        <v>26664.05</v>
      </c>
      <c r="D17">
        <v>54904.05</v>
      </c>
    </row>
    <row r="18" ht="14.5" spans="1:4">
      <c r="A18" t="s">
        <v>20</v>
      </c>
      <c r="B18">
        <v>84</v>
      </c>
      <c r="C18">
        <v>25522.1</v>
      </c>
      <c r="D18">
        <v>44902.1</v>
      </c>
    </row>
    <row r="19" ht="14.5" spans="1:4">
      <c r="A19" t="s">
        <v>21</v>
      </c>
      <c r="B19">
        <v>62</v>
      </c>
      <c r="C19">
        <v>13948.9</v>
      </c>
      <c r="D19">
        <v>23208.9</v>
      </c>
    </row>
    <row r="20" ht="14.5" spans="1:4">
      <c r="A20" t="s">
        <v>22</v>
      </c>
      <c r="B20">
        <v>16</v>
      </c>
      <c r="C20">
        <v>10444.3</v>
      </c>
      <c r="D20">
        <v>21984.3</v>
      </c>
    </row>
    <row r="21" ht="14.5" spans="1:4">
      <c r="A21" t="s">
        <v>14</v>
      </c>
      <c r="B21">
        <v>199</v>
      </c>
      <c r="C21">
        <v>76579.35</v>
      </c>
      <c r="D21">
        <v>144999.35</v>
      </c>
    </row>
    <row r="22" ht="14.5"/>
    <row r="23" ht="14.5"/>
    <row r="24" ht="14.5"/>
    <row r="25" ht="14.5"/>
    <row r="26" ht="14.5"/>
    <row r="27" ht="14.5"/>
    <row r="28" ht="14.5"/>
    <row r="29" ht="14.5"/>
    <row r="30" ht="14.5"/>
    <row r="31" ht="14.5"/>
    <row r="32" ht="14.5"/>
    <row r="33" ht="14.5"/>
  </sheetData>
  <pageMargins left="0.75" right="0.75" top="1" bottom="1" header="0.5" footer="0.5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1"/>
  <sheetViews>
    <sheetView workbookViewId="0">
      <selection activeCell="E2" sqref="E2"/>
    </sheetView>
  </sheetViews>
  <sheetFormatPr defaultColWidth="9" defaultRowHeight="14"/>
  <cols>
    <col min="1" max="1" width="6.41666666666667" customWidth="1"/>
    <col min="2" max="2" width="13.5" customWidth="1"/>
    <col min="3" max="3" width="5.75" customWidth="1"/>
    <col min="4" max="4" width="5.25" customWidth="1"/>
    <col min="5" max="5" width="10.6666666666667" customWidth="1"/>
    <col min="6" max="6" width="8.75" customWidth="1"/>
    <col min="7" max="7" width="8.25" customWidth="1"/>
    <col min="8" max="8" width="9.08333333333333" customWidth="1"/>
    <col min="9" max="9" width="8.41666666666667" customWidth="1"/>
    <col min="10" max="10" width="7.16666666666667" customWidth="1"/>
    <col min="11" max="11" width="8.41666666666667" customWidth="1"/>
    <col min="12" max="12" width="7.16666666666667" customWidth="1"/>
    <col min="13" max="13" width="8.41666666666667" customWidth="1"/>
    <col min="14" max="14" width="12.6666666666667" customWidth="1"/>
  </cols>
  <sheetData>
    <row r="1" spans="1:14">
      <c r="A1" s="1" t="s">
        <v>23</v>
      </c>
      <c r="B1" s="2" t="s">
        <v>24</v>
      </c>
      <c r="C1" s="2" t="s">
        <v>0</v>
      </c>
      <c r="D1" s="2" t="s">
        <v>18</v>
      </c>
      <c r="E1" s="2" t="s">
        <v>25</v>
      </c>
      <c r="F1" s="2" t="s">
        <v>26</v>
      </c>
      <c r="G1" s="2" t="s">
        <v>3</v>
      </c>
      <c r="H1" s="3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5" t="s">
        <v>33</v>
      </c>
    </row>
    <row r="2" spans="1:14">
      <c r="A2">
        <v>46204</v>
      </c>
      <c r="B2" t="s">
        <v>34</v>
      </c>
      <c r="C2" t="s">
        <v>7</v>
      </c>
      <c r="D2" t="s">
        <v>20</v>
      </c>
      <c r="E2" t="s">
        <v>35</v>
      </c>
      <c r="F2" t="s">
        <v>36</v>
      </c>
      <c r="G2" t="s">
        <v>8</v>
      </c>
      <c r="H2">
        <v>2</v>
      </c>
      <c r="I2">
        <v>359.1</v>
      </c>
      <c r="J2">
        <v>155</v>
      </c>
      <c r="K2">
        <f t="shared" ref="K2:K61" si="0">H2*I2</f>
        <v>718.2</v>
      </c>
      <c r="L2">
        <f t="shared" ref="L2:L61" si="1">H2*J2</f>
        <v>310</v>
      </c>
      <c r="M2">
        <f t="shared" ref="M2:M61" si="2">K2-L2</f>
        <v>408.2</v>
      </c>
      <c r="N2">
        <f t="shared" ref="N2:N61" si="3">IFERROR(M2/K2,0)</f>
        <v>0.568365357839042</v>
      </c>
    </row>
    <row r="3" spans="1:14">
      <c r="A3">
        <v>46204</v>
      </c>
      <c r="B3" t="s">
        <v>37</v>
      </c>
      <c r="C3" t="s">
        <v>11</v>
      </c>
      <c r="D3" t="s">
        <v>21</v>
      </c>
      <c r="E3" t="s">
        <v>38</v>
      </c>
      <c r="F3" t="s">
        <v>39</v>
      </c>
      <c r="G3" t="s">
        <v>10</v>
      </c>
      <c r="H3">
        <v>10</v>
      </c>
      <c r="I3">
        <v>399</v>
      </c>
      <c r="J3">
        <v>160</v>
      </c>
      <c r="K3">
        <f t="shared" si="0"/>
        <v>3990</v>
      </c>
      <c r="L3">
        <f t="shared" si="1"/>
        <v>1600</v>
      </c>
      <c r="M3">
        <f t="shared" si="2"/>
        <v>2390</v>
      </c>
      <c r="N3">
        <f t="shared" si="3"/>
        <v>0.598997493734336</v>
      </c>
    </row>
    <row r="4" spans="1:14">
      <c r="A4">
        <v>46204</v>
      </c>
      <c r="B4" t="s">
        <v>40</v>
      </c>
      <c r="C4" t="s">
        <v>7</v>
      </c>
      <c r="D4" t="s">
        <v>20</v>
      </c>
      <c r="E4" t="s">
        <v>35</v>
      </c>
      <c r="F4" t="s">
        <v>36</v>
      </c>
      <c r="G4" t="s">
        <v>8</v>
      </c>
      <c r="H4">
        <v>8</v>
      </c>
      <c r="I4">
        <v>399</v>
      </c>
      <c r="J4">
        <v>155</v>
      </c>
      <c r="K4">
        <f t="shared" si="0"/>
        <v>3192</v>
      </c>
      <c r="L4">
        <f t="shared" si="1"/>
        <v>1240</v>
      </c>
      <c r="M4">
        <f t="shared" si="2"/>
        <v>1952</v>
      </c>
      <c r="N4">
        <f t="shared" si="3"/>
        <v>0.611528822055138</v>
      </c>
    </row>
    <row r="5" spans="1:14">
      <c r="A5">
        <v>46204</v>
      </c>
      <c r="B5" t="s">
        <v>41</v>
      </c>
      <c r="C5" t="s">
        <v>7</v>
      </c>
      <c r="D5" t="s">
        <v>20</v>
      </c>
      <c r="E5" t="s">
        <v>35</v>
      </c>
      <c r="F5" t="s">
        <v>36</v>
      </c>
      <c r="G5" t="s">
        <v>8</v>
      </c>
      <c r="H5">
        <v>8</v>
      </c>
      <c r="I5">
        <v>399</v>
      </c>
      <c r="J5">
        <v>155</v>
      </c>
      <c r="K5">
        <f t="shared" si="0"/>
        <v>3192</v>
      </c>
      <c r="L5">
        <f t="shared" si="1"/>
        <v>1240</v>
      </c>
      <c r="M5">
        <f t="shared" si="2"/>
        <v>1952</v>
      </c>
      <c r="N5">
        <f t="shared" si="3"/>
        <v>0.611528822055138</v>
      </c>
    </row>
    <row r="6" spans="1:14">
      <c r="A6">
        <v>46205</v>
      </c>
      <c r="B6" t="s">
        <v>42</v>
      </c>
      <c r="C6" t="s">
        <v>7</v>
      </c>
      <c r="D6" t="s">
        <v>20</v>
      </c>
      <c r="E6" t="s">
        <v>35</v>
      </c>
      <c r="F6" t="s">
        <v>36</v>
      </c>
      <c r="G6" t="s">
        <v>8</v>
      </c>
      <c r="H6">
        <v>1</v>
      </c>
      <c r="I6">
        <v>379.05</v>
      </c>
      <c r="J6">
        <v>155</v>
      </c>
      <c r="K6">
        <f t="shared" si="0"/>
        <v>379.05</v>
      </c>
      <c r="L6">
        <f t="shared" si="1"/>
        <v>155</v>
      </c>
      <c r="M6">
        <f t="shared" si="2"/>
        <v>224.05</v>
      </c>
      <c r="N6">
        <f t="shared" si="3"/>
        <v>0.591082970584356</v>
      </c>
    </row>
    <row r="7" spans="1:14">
      <c r="A7">
        <v>46206</v>
      </c>
      <c r="B7" t="s">
        <v>43</v>
      </c>
      <c r="C7" t="s">
        <v>11</v>
      </c>
      <c r="D7" t="s">
        <v>21</v>
      </c>
      <c r="E7" t="s">
        <v>38</v>
      </c>
      <c r="F7" t="s">
        <v>39</v>
      </c>
      <c r="G7" t="s">
        <v>10</v>
      </c>
      <c r="H7">
        <v>5</v>
      </c>
      <c r="I7">
        <v>359.1</v>
      </c>
      <c r="J7">
        <v>160</v>
      </c>
      <c r="K7">
        <f t="shared" si="0"/>
        <v>1795.5</v>
      </c>
      <c r="L7">
        <f t="shared" si="1"/>
        <v>800</v>
      </c>
      <c r="M7">
        <f t="shared" si="2"/>
        <v>995.5</v>
      </c>
      <c r="N7">
        <f t="shared" si="3"/>
        <v>0.554441659704818</v>
      </c>
    </row>
    <row r="8" spans="1:14">
      <c r="A8">
        <v>46206</v>
      </c>
      <c r="B8" t="s">
        <v>44</v>
      </c>
      <c r="C8" t="s">
        <v>7</v>
      </c>
      <c r="D8" t="s">
        <v>20</v>
      </c>
      <c r="E8" t="s">
        <v>35</v>
      </c>
      <c r="F8" t="s">
        <v>36</v>
      </c>
      <c r="G8" t="s">
        <v>8</v>
      </c>
      <c r="H8">
        <v>4</v>
      </c>
      <c r="I8">
        <v>399</v>
      </c>
      <c r="J8">
        <v>155</v>
      </c>
      <c r="K8">
        <f t="shared" si="0"/>
        <v>1596</v>
      </c>
      <c r="L8">
        <f t="shared" si="1"/>
        <v>620</v>
      </c>
      <c r="M8">
        <f t="shared" si="2"/>
        <v>976</v>
      </c>
      <c r="N8">
        <f t="shared" si="3"/>
        <v>0.611528822055138</v>
      </c>
    </row>
    <row r="9" spans="1:14">
      <c r="A9">
        <v>46207</v>
      </c>
      <c r="B9" t="s">
        <v>45</v>
      </c>
      <c r="C9" t="s">
        <v>16</v>
      </c>
      <c r="D9" t="s">
        <v>22</v>
      </c>
      <c r="E9" t="s">
        <v>46</v>
      </c>
      <c r="F9" t="s">
        <v>47</v>
      </c>
      <c r="G9" t="s">
        <v>12</v>
      </c>
      <c r="H9">
        <v>2</v>
      </c>
      <c r="I9">
        <v>949.05</v>
      </c>
      <c r="J9">
        <v>520</v>
      </c>
      <c r="K9">
        <f t="shared" si="0"/>
        <v>1898.1</v>
      </c>
      <c r="L9">
        <f t="shared" si="1"/>
        <v>1040</v>
      </c>
      <c r="M9">
        <f t="shared" si="2"/>
        <v>858.1</v>
      </c>
      <c r="N9">
        <f t="shared" si="3"/>
        <v>0.452083662609978</v>
      </c>
    </row>
    <row r="10" spans="1:14">
      <c r="A10">
        <v>46207</v>
      </c>
      <c r="B10" t="s">
        <v>48</v>
      </c>
      <c r="C10" t="s">
        <v>15</v>
      </c>
      <c r="D10" t="s">
        <v>19</v>
      </c>
      <c r="E10" t="s">
        <v>49</v>
      </c>
      <c r="F10" t="s">
        <v>39</v>
      </c>
      <c r="G10" t="s">
        <v>8</v>
      </c>
      <c r="H10">
        <v>4</v>
      </c>
      <c r="I10">
        <v>1234.05</v>
      </c>
      <c r="J10">
        <v>680</v>
      </c>
      <c r="K10">
        <f t="shared" si="0"/>
        <v>4936.2</v>
      </c>
      <c r="L10">
        <f t="shared" si="1"/>
        <v>2720</v>
      </c>
      <c r="M10">
        <f t="shared" si="2"/>
        <v>2216.2</v>
      </c>
      <c r="N10">
        <f t="shared" si="3"/>
        <v>0.448968842429399</v>
      </c>
    </row>
    <row r="11" spans="1:14">
      <c r="A11">
        <v>46207</v>
      </c>
      <c r="B11" t="s">
        <v>50</v>
      </c>
      <c r="C11" t="s">
        <v>11</v>
      </c>
      <c r="D11" t="s">
        <v>21</v>
      </c>
      <c r="E11" t="s">
        <v>38</v>
      </c>
      <c r="F11" t="s">
        <v>39</v>
      </c>
      <c r="G11" t="s">
        <v>10</v>
      </c>
      <c r="H11">
        <v>5</v>
      </c>
      <c r="I11">
        <v>399</v>
      </c>
      <c r="J11">
        <v>160</v>
      </c>
      <c r="K11">
        <f t="shared" si="0"/>
        <v>1995</v>
      </c>
      <c r="L11">
        <f t="shared" si="1"/>
        <v>800</v>
      </c>
      <c r="M11">
        <f t="shared" si="2"/>
        <v>1195</v>
      </c>
      <c r="N11">
        <f t="shared" si="3"/>
        <v>0.598997493734336</v>
      </c>
    </row>
    <row r="12" spans="1:14">
      <c r="A12">
        <v>46207</v>
      </c>
      <c r="B12" t="s">
        <v>51</v>
      </c>
      <c r="C12" t="s">
        <v>11</v>
      </c>
      <c r="D12" t="s">
        <v>21</v>
      </c>
      <c r="E12" t="s">
        <v>38</v>
      </c>
      <c r="F12" t="s">
        <v>39</v>
      </c>
      <c r="G12" t="s">
        <v>10</v>
      </c>
      <c r="H12">
        <v>3</v>
      </c>
      <c r="I12">
        <v>399</v>
      </c>
      <c r="J12">
        <v>160</v>
      </c>
      <c r="K12">
        <f t="shared" si="0"/>
        <v>1197</v>
      </c>
      <c r="L12">
        <f t="shared" si="1"/>
        <v>480</v>
      </c>
      <c r="M12">
        <f t="shared" si="2"/>
        <v>717</v>
      </c>
      <c r="N12">
        <f t="shared" si="3"/>
        <v>0.598997493734336</v>
      </c>
    </row>
    <row r="13" spans="1:14">
      <c r="A13">
        <v>46209</v>
      </c>
      <c r="B13" t="s">
        <v>52</v>
      </c>
      <c r="C13" t="s">
        <v>16</v>
      </c>
      <c r="D13" t="s">
        <v>22</v>
      </c>
      <c r="E13" t="s">
        <v>46</v>
      </c>
      <c r="F13" t="s">
        <v>47</v>
      </c>
      <c r="G13" t="s">
        <v>12</v>
      </c>
      <c r="H13">
        <v>3</v>
      </c>
      <c r="I13">
        <v>999</v>
      </c>
      <c r="J13">
        <v>520</v>
      </c>
      <c r="K13">
        <f t="shared" si="0"/>
        <v>2997</v>
      </c>
      <c r="L13">
        <f t="shared" si="1"/>
        <v>1560</v>
      </c>
      <c r="M13">
        <f t="shared" si="2"/>
        <v>1437</v>
      </c>
      <c r="N13">
        <f t="shared" si="3"/>
        <v>0.479479479479479</v>
      </c>
    </row>
    <row r="14" spans="1:14">
      <c r="A14">
        <v>46210</v>
      </c>
      <c r="B14" t="s">
        <v>53</v>
      </c>
      <c r="C14" t="s">
        <v>11</v>
      </c>
      <c r="D14" t="s">
        <v>21</v>
      </c>
      <c r="E14" t="s">
        <v>38</v>
      </c>
      <c r="F14" t="s">
        <v>39</v>
      </c>
      <c r="G14" t="s">
        <v>10</v>
      </c>
      <c r="H14">
        <v>2</v>
      </c>
      <c r="I14">
        <v>379.05</v>
      </c>
      <c r="J14">
        <v>160</v>
      </c>
      <c r="K14">
        <f t="shared" si="0"/>
        <v>758.1</v>
      </c>
      <c r="L14">
        <f t="shared" si="1"/>
        <v>320</v>
      </c>
      <c r="M14">
        <f t="shared" si="2"/>
        <v>438.1</v>
      </c>
      <c r="N14">
        <f t="shared" si="3"/>
        <v>0.577892098667722</v>
      </c>
    </row>
    <row r="15" spans="1:14">
      <c r="A15">
        <v>46211</v>
      </c>
      <c r="B15" t="s">
        <v>54</v>
      </c>
      <c r="C15" t="s">
        <v>5</v>
      </c>
      <c r="D15" t="s">
        <v>19</v>
      </c>
      <c r="E15" t="s">
        <v>55</v>
      </c>
      <c r="F15" t="s">
        <v>56</v>
      </c>
      <c r="G15" t="s">
        <v>6</v>
      </c>
      <c r="H15">
        <v>1</v>
      </c>
      <c r="I15">
        <v>1599</v>
      </c>
      <c r="J15">
        <v>790</v>
      </c>
      <c r="K15">
        <f t="shared" si="0"/>
        <v>1599</v>
      </c>
      <c r="L15">
        <f t="shared" si="1"/>
        <v>790</v>
      </c>
      <c r="M15">
        <f t="shared" si="2"/>
        <v>809</v>
      </c>
      <c r="N15">
        <f t="shared" si="3"/>
        <v>0.505941213258286</v>
      </c>
    </row>
    <row r="16" spans="1:14">
      <c r="A16">
        <v>46211</v>
      </c>
      <c r="B16" t="s">
        <v>57</v>
      </c>
      <c r="C16" t="s">
        <v>11</v>
      </c>
      <c r="D16" t="s">
        <v>21</v>
      </c>
      <c r="E16" t="s">
        <v>38</v>
      </c>
      <c r="F16" t="s">
        <v>39</v>
      </c>
      <c r="G16" t="s">
        <v>10</v>
      </c>
      <c r="H16">
        <v>10</v>
      </c>
      <c r="I16">
        <v>399</v>
      </c>
      <c r="J16">
        <v>160</v>
      </c>
      <c r="K16">
        <f t="shared" si="0"/>
        <v>3990</v>
      </c>
      <c r="L16">
        <f t="shared" si="1"/>
        <v>1600</v>
      </c>
      <c r="M16">
        <f t="shared" si="2"/>
        <v>2390</v>
      </c>
      <c r="N16">
        <f t="shared" si="3"/>
        <v>0.598997493734336</v>
      </c>
    </row>
    <row r="17" spans="1:14">
      <c r="A17">
        <v>46211</v>
      </c>
      <c r="B17" t="s">
        <v>58</v>
      </c>
      <c r="C17" t="s">
        <v>9</v>
      </c>
      <c r="D17" t="s">
        <v>20</v>
      </c>
      <c r="E17" t="s">
        <v>59</v>
      </c>
      <c r="F17" t="s">
        <v>56</v>
      </c>
      <c r="G17" t="s">
        <v>6</v>
      </c>
      <c r="H17">
        <v>5</v>
      </c>
      <c r="I17">
        <v>899</v>
      </c>
      <c r="J17">
        <v>420</v>
      </c>
      <c r="K17">
        <f t="shared" si="0"/>
        <v>4495</v>
      </c>
      <c r="L17">
        <f t="shared" si="1"/>
        <v>2100</v>
      </c>
      <c r="M17">
        <f t="shared" si="2"/>
        <v>2395</v>
      </c>
      <c r="N17">
        <f t="shared" si="3"/>
        <v>0.532814238042269</v>
      </c>
    </row>
    <row r="18" spans="1:14">
      <c r="A18">
        <v>46211</v>
      </c>
      <c r="B18" t="s">
        <v>60</v>
      </c>
      <c r="C18" t="s">
        <v>11</v>
      </c>
      <c r="D18" t="s">
        <v>21</v>
      </c>
      <c r="E18" t="s">
        <v>38</v>
      </c>
      <c r="F18" t="s">
        <v>39</v>
      </c>
      <c r="G18" t="s">
        <v>10</v>
      </c>
      <c r="H18">
        <v>5</v>
      </c>
      <c r="I18">
        <v>399</v>
      </c>
      <c r="J18">
        <v>160</v>
      </c>
      <c r="K18">
        <f t="shared" si="0"/>
        <v>1995</v>
      </c>
      <c r="L18">
        <f t="shared" si="1"/>
        <v>800</v>
      </c>
      <c r="M18">
        <f t="shared" si="2"/>
        <v>1195</v>
      </c>
      <c r="N18">
        <f t="shared" si="3"/>
        <v>0.598997493734336</v>
      </c>
    </row>
    <row r="19" spans="1:14">
      <c r="A19">
        <v>46211</v>
      </c>
      <c r="B19" t="s">
        <v>61</v>
      </c>
      <c r="C19" t="s">
        <v>9</v>
      </c>
      <c r="D19" t="s">
        <v>20</v>
      </c>
      <c r="E19" t="s">
        <v>59</v>
      </c>
      <c r="F19" t="s">
        <v>56</v>
      </c>
      <c r="G19" t="s">
        <v>6</v>
      </c>
      <c r="H19">
        <v>2</v>
      </c>
      <c r="I19">
        <v>809.1</v>
      </c>
      <c r="J19">
        <v>420</v>
      </c>
      <c r="K19">
        <f t="shared" si="0"/>
        <v>1618.2</v>
      </c>
      <c r="L19">
        <f t="shared" si="1"/>
        <v>840</v>
      </c>
      <c r="M19">
        <f t="shared" si="2"/>
        <v>778.2</v>
      </c>
      <c r="N19">
        <f t="shared" si="3"/>
        <v>0.480904708935855</v>
      </c>
    </row>
    <row r="20" spans="1:14">
      <c r="A20">
        <v>46212</v>
      </c>
      <c r="B20" t="s">
        <v>62</v>
      </c>
      <c r="C20" t="s">
        <v>9</v>
      </c>
      <c r="D20" t="s">
        <v>20</v>
      </c>
      <c r="E20" t="s">
        <v>59</v>
      </c>
      <c r="F20" t="s">
        <v>56</v>
      </c>
      <c r="G20" t="s">
        <v>6</v>
      </c>
      <c r="H20">
        <v>5</v>
      </c>
      <c r="I20">
        <v>899</v>
      </c>
      <c r="J20">
        <v>420</v>
      </c>
      <c r="K20">
        <f t="shared" si="0"/>
        <v>4495</v>
      </c>
      <c r="L20">
        <f t="shared" si="1"/>
        <v>2100</v>
      </c>
      <c r="M20">
        <f t="shared" si="2"/>
        <v>2395</v>
      </c>
      <c r="N20">
        <f t="shared" si="3"/>
        <v>0.532814238042269</v>
      </c>
    </row>
    <row r="21" spans="1:14">
      <c r="A21">
        <v>46212</v>
      </c>
      <c r="B21" t="s">
        <v>63</v>
      </c>
      <c r="C21" t="s">
        <v>7</v>
      </c>
      <c r="D21" t="s">
        <v>20</v>
      </c>
      <c r="E21" t="s">
        <v>35</v>
      </c>
      <c r="F21" t="s">
        <v>36</v>
      </c>
      <c r="G21" t="s">
        <v>8</v>
      </c>
      <c r="H21">
        <v>4</v>
      </c>
      <c r="I21">
        <v>399</v>
      </c>
      <c r="J21">
        <v>155</v>
      </c>
      <c r="K21">
        <f t="shared" si="0"/>
        <v>1596</v>
      </c>
      <c r="L21">
        <f t="shared" si="1"/>
        <v>620</v>
      </c>
      <c r="M21">
        <f t="shared" si="2"/>
        <v>976</v>
      </c>
      <c r="N21">
        <f t="shared" si="3"/>
        <v>0.611528822055138</v>
      </c>
    </row>
    <row r="22" spans="1:14">
      <c r="A22">
        <v>46212</v>
      </c>
      <c r="B22" t="s">
        <v>64</v>
      </c>
      <c r="C22" t="s">
        <v>5</v>
      </c>
      <c r="D22" t="s">
        <v>19</v>
      </c>
      <c r="E22" t="s">
        <v>55</v>
      </c>
      <c r="F22" t="s">
        <v>56</v>
      </c>
      <c r="G22" t="s">
        <v>6</v>
      </c>
      <c r="H22">
        <v>4</v>
      </c>
      <c r="I22">
        <v>1599</v>
      </c>
      <c r="J22">
        <v>790</v>
      </c>
      <c r="K22">
        <f t="shared" si="0"/>
        <v>6396</v>
      </c>
      <c r="L22">
        <f t="shared" si="1"/>
        <v>3160</v>
      </c>
      <c r="M22">
        <f t="shared" si="2"/>
        <v>3236</v>
      </c>
      <c r="N22">
        <f t="shared" si="3"/>
        <v>0.505941213258286</v>
      </c>
    </row>
    <row r="23" spans="1:14">
      <c r="A23">
        <v>46212</v>
      </c>
      <c r="B23" t="s">
        <v>65</v>
      </c>
      <c r="C23" t="s">
        <v>7</v>
      </c>
      <c r="D23" t="s">
        <v>20</v>
      </c>
      <c r="E23" t="s">
        <v>35</v>
      </c>
      <c r="F23" t="s">
        <v>36</v>
      </c>
      <c r="G23" t="s">
        <v>8</v>
      </c>
      <c r="H23">
        <v>2</v>
      </c>
      <c r="I23">
        <v>359.1</v>
      </c>
      <c r="J23">
        <v>155</v>
      </c>
      <c r="K23">
        <f t="shared" si="0"/>
        <v>718.2</v>
      </c>
      <c r="L23">
        <f t="shared" si="1"/>
        <v>310</v>
      </c>
      <c r="M23">
        <f t="shared" si="2"/>
        <v>408.2</v>
      </c>
      <c r="N23">
        <f t="shared" si="3"/>
        <v>0.568365357839042</v>
      </c>
    </row>
    <row r="24" spans="1:14">
      <c r="A24">
        <v>46212</v>
      </c>
      <c r="B24" t="s">
        <v>66</v>
      </c>
      <c r="C24" t="s">
        <v>13</v>
      </c>
      <c r="D24" t="s">
        <v>22</v>
      </c>
      <c r="E24" t="s">
        <v>67</v>
      </c>
      <c r="F24" t="s">
        <v>56</v>
      </c>
      <c r="G24" t="s">
        <v>6</v>
      </c>
      <c r="H24">
        <v>2</v>
      </c>
      <c r="I24">
        <v>1899</v>
      </c>
      <c r="J24">
        <v>980</v>
      </c>
      <c r="K24">
        <f t="shared" si="0"/>
        <v>3798</v>
      </c>
      <c r="L24">
        <f t="shared" si="1"/>
        <v>1960</v>
      </c>
      <c r="M24">
        <f t="shared" si="2"/>
        <v>1838</v>
      </c>
      <c r="N24">
        <f t="shared" si="3"/>
        <v>0.483938915218536</v>
      </c>
    </row>
    <row r="25" spans="1:14">
      <c r="A25">
        <v>46214</v>
      </c>
      <c r="B25" t="s">
        <v>68</v>
      </c>
      <c r="C25" t="s">
        <v>7</v>
      </c>
      <c r="D25" t="s">
        <v>20</v>
      </c>
      <c r="E25" t="s">
        <v>35</v>
      </c>
      <c r="F25" t="s">
        <v>36</v>
      </c>
      <c r="G25" t="s">
        <v>8</v>
      </c>
      <c r="H25">
        <v>1</v>
      </c>
      <c r="I25">
        <v>399</v>
      </c>
      <c r="J25">
        <v>155</v>
      </c>
      <c r="K25">
        <f t="shared" si="0"/>
        <v>399</v>
      </c>
      <c r="L25">
        <f t="shared" si="1"/>
        <v>155</v>
      </c>
      <c r="M25">
        <f t="shared" si="2"/>
        <v>244</v>
      </c>
      <c r="N25">
        <f t="shared" si="3"/>
        <v>0.611528822055138</v>
      </c>
    </row>
    <row r="26" spans="1:14">
      <c r="A26">
        <v>46214</v>
      </c>
      <c r="B26" t="s">
        <v>69</v>
      </c>
      <c r="C26" t="s">
        <v>5</v>
      </c>
      <c r="D26" t="s">
        <v>19</v>
      </c>
      <c r="E26" t="s">
        <v>55</v>
      </c>
      <c r="F26" t="s">
        <v>56</v>
      </c>
      <c r="G26" t="s">
        <v>6</v>
      </c>
      <c r="H26">
        <v>4</v>
      </c>
      <c r="I26">
        <v>1599</v>
      </c>
      <c r="J26">
        <v>790</v>
      </c>
      <c r="K26">
        <f t="shared" si="0"/>
        <v>6396</v>
      </c>
      <c r="L26">
        <f t="shared" si="1"/>
        <v>3160</v>
      </c>
      <c r="M26">
        <f t="shared" si="2"/>
        <v>3236</v>
      </c>
      <c r="N26">
        <f t="shared" si="3"/>
        <v>0.505941213258286</v>
      </c>
    </row>
    <row r="27" spans="1:14">
      <c r="A27">
        <v>46214</v>
      </c>
      <c r="B27" t="s">
        <v>70</v>
      </c>
      <c r="C27" t="s">
        <v>9</v>
      </c>
      <c r="D27" t="s">
        <v>20</v>
      </c>
      <c r="E27" t="s">
        <v>59</v>
      </c>
      <c r="F27" t="s">
        <v>56</v>
      </c>
      <c r="G27" t="s">
        <v>6</v>
      </c>
      <c r="H27">
        <v>3</v>
      </c>
      <c r="I27">
        <v>899</v>
      </c>
      <c r="J27">
        <v>420</v>
      </c>
      <c r="K27">
        <f t="shared" si="0"/>
        <v>2697</v>
      </c>
      <c r="L27">
        <f t="shared" si="1"/>
        <v>1260</v>
      </c>
      <c r="M27">
        <f t="shared" si="2"/>
        <v>1437</v>
      </c>
      <c r="N27">
        <f t="shared" si="3"/>
        <v>0.532814238042269</v>
      </c>
    </row>
    <row r="28" spans="1:14">
      <c r="A28">
        <v>46214</v>
      </c>
      <c r="B28" t="s">
        <v>71</v>
      </c>
      <c r="C28" t="s">
        <v>7</v>
      </c>
      <c r="D28" t="s">
        <v>20</v>
      </c>
      <c r="E28" t="s">
        <v>35</v>
      </c>
      <c r="F28" t="s">
        <v>36</v>
      </c>
      <c r="G28" t="s">
        <v>8</v>
      </c>
      <c r="H28">
        <v>3</v>
      </c>
      <c r="I28">
        <v>399</v>
      </c>
      <c r="J28">
        <v>155</v>
      </c>
      <c r="K28">
        <f t="shared" si="0"/>
        <v>1197</v>
      </c>
      <c r="L28">
        <f t="shared" si="1"/>
        <v>465</v>
      </c>
      <c r="M28">
        <f t="shared" si="2"/>
        <v>732</v>
      </c>
      <c r="N28">
        <f t="shared" si="3"/>
        <v>0.611528822055138</v>
      </c>
    </row>
    <row r="29" spans="1:14">
      <c r="A29">
        <v>46214</v>
      </c>
      <c r="B29" t="s">
        <v>72</v>
      </c>
      <c r="C29" t="s">
        <v>7</v>
      </c>
      <c r="D29" t="s">
        <v>20</v>
      </c>
      <c r="E29" t="s">
        <v>35</v>
      </c>
      <c r="F29" t="s">
        <v>36</v>
      </c>
      <c r="G29" t="s">
        <v>8</v>
      </c>
      <c r="H29">
        <v>2</v>
      </c>
      <c r="I29">
        <v>399</v>
      </c>
      <c r="J29">
        <v>155</v>
      </c>
      <c r="K29">
        <f t="shared" si="0"/>
        <v>798</v>
      </c>
      <c r="L29">
        <f t="shared" si="1"/>
        <v>310</v>
      </c>
      <c r="M29">
        <f t="shared" si="2"/>
        <v>488</v>
      </c>
      <c r="N29">
        <f t="shared" si="3"/>
        <v>0.611528822055138</v>
      </c>
    </row>
    <row r="30" spans="1:14">
      <c r="A30">
        <v>46215</v>
      </c>
      <c r="B30" t="s">
        <v>73</v>
      </c>
      <c r="C30" t="s">
        <v>17</v>
      </c>
      <c r="D30" t="s">
        <v>21</v>
      </c>
      <c r="E30" t="s">
        <v>74</v>
      </c>
      <c r="F30" t="s">
        <v>36</v>
      </c>
      <c r="G30" t="s">
        <v>10</v>
      </c>
      <c r="H30">
        <v>4</v>
      </c>
      <c r="I30">
        <v>299</v>
      </c>
      <c r="J30">
        <v>105</v>
      </c>
      <c r="K30">
        <f t="shared" si="0"/>
        <v>1196</v>
      </c>
      <c r="L30">
        <f t="shared" si="1"/>
        <v>420</v>
      </c>
      <c r="M30">
        <f t="shared" si="2"/>
        <v>776</v>
      </c>
      <c r="N30">
        <f t="shared" si="3"/>
        <v>0.648829431438127</v>
      </c>
    </row>
    <row r="31" spans="1:14">
      <c r="A31">
        <v>46215</v>
      </c>
      <c r="B31" t="s">
        <v>75</v>
      </c>
      <c r="C31" t="s">
        <v>5</v>
      </c>
      <c r="D31" t="s">
        <v>19</v>
      </c>
      <c r="E31" t="s">
        <v>55</v>
      </c>
      <c r="F31" t="s">
        <v>56</v>
      </c>
      <c r="G31" t="s">
        <v>6</v>
      </c>
      <c r="H31">
        <v>4</v>
      </c>
      <c r="I31">
        <v>1599</v>
      </c>
      <c r="J31">
        <v>790</v>
      </c>
      <c r="K31">
        <f t="shared" si="0"/>
        <v>6396</v>
      </c>
      <c r="L31">
        <f t="shared" si="1"/>
        <v>3160</v>
      </c>
      <c r="M31">
        <f t="shared" si="2"/>
        <v>3236</v>
      </c>
      <c r="N31">
        <f t="shared" si="3"/>
        <v>0.505941213258286</v>
      </c>
    </row>
    <row r="32" spans="1:14">
      <c r="A32">
        <v>46215</v>
      </c>
      <c r="B32" t="s">
        <v>76</v>
      </c>
      <c r="C32" t="s">
        <v>15</v>
      </c>
      <c r="D32" t="s">
        <v>19</v>
      </c>
      <c r="E32" t="s">
        <v>49</v>
      </c>
      <c r="F32" t="s">
        <v>39</v>
      </c>
      <c r="G32" t="s">
        <v>8</v>
      </c>
      <c r="H32">
        <v>2</v>
      </c>
      <c r="I32">
        <v>1299</v>
      </c>
      <c r="J32">
        <v>680</v>
      </c>
      <c r="K32">
        <f t="shared" si="0"/>
        <v>2598</v>
      </c>
      <c r="L32">
        <f t="shared" si="1"/>
        <v>1360</v>
      </c>
      <c r="M32">
        <f t="shared" si="2"/>
        <v>1238</v>
      </c>
      <c r="N32">
        <f t="shared" si="3"/>
        <v>0.476520400307929</v>
      </c>
    </row>
    <row r="33" spans="1:14">
      <c r="A33">
        <v>46216</v>
      </c>
      <c r="B33" t="s">
        <v>77</v>
      </c>
      <c r="C33" t="s">
        <v>9</v>
      </c>
      <c r="D33" t="s">
        <v>20</v>
      </c>
      <c r="E33" t="s">
        <v>59</v>
      </c>
      <c r="F33" t="s">
        <v>56</v>
      </c>
      <c r="G33" t="s">
        <v>6</v>
      </c>
      <c r="H33">
        <v>1</v>
      </c>
      <c r="I33">
        <v>899</v>
      </c>
      <c r="J33">
        <v>420</v>
      </c>
      <c r="K33">
        <f t="shared" si="0"/>
        <v>899</v>
      </c>
      <c r="L33">
        <f t="shared" si="1"/>
        <v>420</v>
      </c>
      <c r="M33">
        <f t="shared" si="2"/>
        <v>479</v>
      </c>
      <c r="N33">
        <f t="shared" si="3"/>
        <v>0.532814238042269</v>
      </c>
    </row>
    <row r="34" spans="1:14">
      <c r="A34">
        <v>46217</v>
      </c>
      <c r="B34" t="s">
        <v>78</v>
      </c>
      <c r="C34" t="s">
        <v>17</v>
      </c>
      <c r="D34" t="s">
        <v>21</v>
      </c>
      <c r="E34" t="s">
        <v>74</v>
      </c>
      <c r="F34" t="s">
        <v>36</v>
      </c>
      <c r="G34" t="s">
        <v>10</v>
      </c>
      <c r="H34">
        <v>2</v>
      </c>
      <c r="I34">
        <v>299</v>
      </c>
      <c r="J34">
        <v>105</v>
      </c>
      <c r="K34">
        <f t="shared" si="0"/>
        <v>598</v>
      </c>
      <c r="L34">
        <f t="shared" si="1"/>
        <v>210</v>
      </c>
      <c r="M34">
        <f t="shared" si="2"/>
        <v>388</v>
      </c>
      <c r="N34">
        <f t="shared" si="3"/>
        <v>0.648829431438127</v>
      </c>
    </row>
    <row r="35" spans="1:14">
      <c r="A35">
        <v>46217</v>
      </c>
      <c r="B35" t="s">
        <v>79</v>
      </c>
      <c r="C35" t="s">
        <v>7</v>
      </c>
      <c r="D35" t="s">
        <v>20</v>
      </c>
      <c r="E35" t="s">
        <v>35</v>
      </c>
      <c r="F35" t="s">
        <v>36</v>
      </c>
      <c r="G35" t="s">
        <v>8</v>
      </c>
      <c r="H35">
        <v>2</v>
      </c>
      <c r="I35">
        <v>359.1</v>
      </c>
      <c r="J35">
        <v>155</v>
      </c>
      <c r="K35">
        <f t="shared" si="0"/>
        <v>718.2</v>
      </c>
      <c r="L35">
        <f t="shared" si="1"/>
        <v>310</v>
      </c>
      <c r="M35">
        <f t="shared" si="2"/>
        <v>408.2</v>
      </c>
      <c r="N35">
        <f t="shared" si="3"/>
        <v>0.568365357839042</v>
      </c>
    </row>
    <row r="36" spans="1:14">
      <c r="A36">
        <v>46217</v>
      </c>
      <c r="B36" t="s">
        <v>80</v>
      </c>
      <c r="C36" t="s">
        <v>5</v>
      </c>
      <c r="D36" t="s">
        <v>19</v>
      </c>
      <c r="E36" t="s">
        <v>55</v>
      </c>
      <c r="F36" t="s">
        <v>56</v>
      </c>
      <c r="G36" t="s">
        <v>6</v>
      </c>
      <c r="H36">
        <v>8</v>
      </c>
      <c r="I36">
        <v>1519.05</v>
      </c>
      <c r="J36">
        <v>790</v>
      </c>
      <c r="K36">
        <f t="shared" si="0"/>
        <v>12152.4</v>
      </c>
      <c r="L36">
        <f t="shared" si="1"/>
        <v>6320</v>
      </c>
      <c r="M36">
        <f t="shared" si="2"/>
        <v>5832.4</v>
      </c>
      <c r="N36">
        <f t="shared" si="3"/>
        <v>0.479938119219249</v>
      </c>
    </row>
    <row r="37" spans="1:14">
      <c r="A37">
        <v>46217</v>
      </c>
      <c r="B37" t="s">
        <v>81</v>
      </c>
      <c r="C37" t="s">
        <v>5</v>
      </c>
      <c r="D37" t="s">
        <v>19</v>
      </c>
      <c r="E37" t="s">
        <v>55</v>
      </c>
      <c r="F37" t="s">
        <v>56</v>
      </c>
      <c r="G37" t="s">
        <v>6</v>
      </c>
      <c r="H37">
        <v>1</v>
      </c>
      <c r="I37">
        <v>1519.05</v>
      </c>
      <c r="J37">
        <v>790</v>
      </c>
      <c r="K37">
        <f t="shared" si="0"/>
        <v>1519.05</v>
      </c>
      <c r="L37">
        <f t="shared" si="1"/>
        <v>790</v>
      </c>
      <c r="M37">
        <f t="shared" si="2"/>
        <v>729.05</v>
      </c>
      <c r="N37">
        <f t="shared" si="3"/>
        <v>0.479938119219249</v>
      </c>
    </row>
    <row r="38" spans="1:14">
      <c r="A38">
        <v>46217</v>
      </c>
      <c r="B38" t="s">
        <v>82</v>
      </c>
      <c r="C38" t="s">
        <v>17</v>
      </c>
      <c r="D38" t="s">
        <v>21</v>
      </c>
      <c r="E38" t="s">
        <v>74</v>
      </c>
      <c r="F38" t="s">
        <v>36</v>
      </c>
      <c r="G38" t="s">
        <v>10</v>
      </c>
      <c r="H38">
        <v>3</v>
      </c>
      <c r="I38">
        <v>299</v>
      </c>
      <c r="J38">
        <v>105</v>
      </c>
      <c r="K38">
        <f t="shared" si="0"/>
        <v>897</v>
      </c>
      <c r="L38">
        <f t="shared" si="1"/>
        <v>315</v>
      </c>
      <c r="M38">
        <f t="shared" si="2"/>
        <v>582</v>
      </c>
      <c r="N38">
        <f t="shared" si="3"/>
        <v>0.648829431438127</v>
      </c>
    </row>
    <row r="39" spans="1:14">
      <c r="A39">
        <v>46218</v>
      </c>
      <c r="B39" t="s">
        <v>83</v>
      </c>
      <c r="C39" t="s">
        <v>7</v>
      </c>
      <c r="D39" t="s">
        <v>20</v>
      </c>
      <c r="E39" t="s">
        <v>35</v>
      </c>
      <c r="F39" t="s">
        <v>36</v>
      </c>
      <c r="G39" t="s">
        <v>8</v>
      </c>
      <c r="H39">
        <v>10</v>
      </c>
      <c r="I39">
        <v>399</v>
      </c>
      <c r="J39">
        <v>155</v>
      </c>
      <c r="K39">
        <f t="shared" si="0"/>
        <v>3990</v>
      </c>
      <c r="L39">
        <f t="shared" si="1"/>
        <v>1550</v>
      </c>
      <c r="M39">
        <f t="shared" si="2"/>
        <v>2440</v>
      </c>
      <c r="N39">
        <f t="shared" si="3"/>
        <v>0.611528822055138</v>
      </c>
    </row>
    <row r="40" spans="1:14">
      <c r="A40">
        <v>46218</v>
      </c>
      <c r="B40" t="s">
        <v>84</v>
      </c>
      <c r="C40" t="s">
        <v>11</v>
      </c>
      <c r="D40" t="s">
        <v>21</v>
      </c>
      <c r="E40" t="s">
        <v>38</v>
      </c>
      <c r="F40" t="s">
        <v>39</v>
      </c>
      <c r="G40" t="s">
        <v>10</v>
      </c>
      <c r="H40">
        <v>10</v>
      </c>
      <c r="I40">
        <v>399</v>
      </c>
      <c r="J40">
        <v>160</v>
      </c>
      <c r="K40">
        <f t="shared" si="0"/>
        <v>3990</v>
      </c>
      <c r="L40">
        <f t="shared" si="1"/>
        <v>1600</v>
      </c>
      <c r="M40">
        <f t="shared" si="2"/>
        <v>2390</v>
      </c>
      <c r="N40">
        <f t="shared" si="3"/>
        <v>0.598997493734336</v>
      </c>
    </row>
    <row r="41" spans="1:14">
      <c r="A41">
        <v>46218</v>
      </c>
      <c r="B41" t="s">
        <v>85</v>
      </c>
      <c r="C41" t="s">
        <v>7</v>
      </c>
      <c r="D41" t="s">
        <v>20</v>
      </c>
      <c r="E41" t="s">
        <v>35</v>
      </c>
      <c r="F41" t="s">
        <v>36</v>
      </c>
      <c r="G41" t="s">
        <v>8</v>
      </c>
      <c r="H41">
        <v>2</v>
      </c>
      <c r="I41">
        <v>399</v>
      </c>
      <c r="J41">
        <v>155</v>
      </c>
      <c r="K41">
        <f t="shared" si="0"/>
        <v>798</v>
      </c>
      <c r="L41">
        <f t="shared" si="1"/>
        <v>310</v>
      </c>
      <c r="M41">
        <f t="shared" si="2"/>
        <v>488</v>
      </c>
      <c r="N41">
        <f t="shared" si="3"/>
        <v>0.611528822055138</v>
      </c>
    </row>
    <row r="42" spans="1:14">
      <c r="A42">
        <v>46218</v>
      </c>
      <c r="B42" t="s">
        <v>86</v>
      </c>
      <c r="C42" t="s">
        <v>7</v>
      </c>
      <c r="D42" t="s">
        <v>20</v>
      </c>
      <c r="E42" t="s">
        <v>35</v>
      </c>
      <c r="F42" t="s">
        <v>36</v>
      </c>
      <c r="G42" t="s">
        <v>8</v>
      </c>
      <c r="H42">
        <v>1</v>
      </c>
      <c r="I42">
        <v>359.1</v>
      </c>
      <c r="J42">
        <v>155</v>
      </c>
      <c r="K42">
        <f t="shared" si="0"/>
        <v>359.1</v>
      </c>
      <c r="L42">
        <f t="shared" si="1"/>
        <v>155</v>
      </c>
      <c r="M42">
        <f t="shared" si="2"/>
        <v>204.1</v>
      </c>
      <c r="N42">
        <f t="shared" si="3"/>
        <v>0.568365357839042</v>
      </c>
    </row>
    <row r="43" spans="1:14">
      <c r="A43">
        <v>46219</v>
      </c>
      <c r="B43" t="s">
        <v>87</v>
      </c>
      <c r="C43" t="s">
        <v>5</v>
      </c>
      <c r="D43" t="s">
        <v>19</v>
      </c>
      <c r="E43" t="s">
        <v>55</v>
      </c>
      <c r="F43" t="s">
        <v>56</v>
      </c>
      <c r="G43" t="s">
        <v>6</v>
      </c>
      <c r="H43">
        <v>3</v>
      </c>
      <c r="I43">
        <v>1519.05</v>
      </c>
      <c r="J43">
        <v>790</v>
      </c>
      <c r="K43">
        <f t="shared" si="0"/>
        <v>4557.15</v>
      </c>
      <c r="L43">
        <f t="shared" si="1"/>
        <v>2370</v>
      </c>
      <c r="M43">
        <f t="shared" si="2"/>
        <v>2187.15</v>
      </c>
      <c r="N43">
        <f t="shared" si="3"/>
        <v>0.479938119219249</v>
      </c>
    </row>
    <row r="44" spans="1:14">
      <c r="A44">
        <v>46220</v>
      </c>
      <c r="B44" t="s">
        <v>88</v>
      </c>
      <c r="C44" t="s">
        <v>13</v>
      </c>
      <c r="D44" t="s">
        <v>22</v>
      </c>
      <c r="E44" t="s">
        <v>67</v>
      </c>
      <c r="F44" t="s">
        <v>56</v>
      </c>
      <c r="G44" t="s">
        <v>6</v>
      </c>
      <c r="H44">
        <v>1</v>
      </c>
      <c r="I44">
        <v>1899</v>
      </c>
      <c r="J44">
        <v>980</v>
      </c>
      <c r="K44">
        <f t="shared" si="0"/>
        <v>1899</v>
      </c>
      <c r="L44">
        <f t="shared" si="1"/>
        <v>980</v>
      </c>
      <c r="M44">
        <f t="shared" si="2"/>
        <v>919</v>
      </c>
      <c r="N44">
        <f t="shared" si="3"/>
        <v>0.483938915218536</v>
      </c>
    </row>
    <row r="45" spans="1:14">
      <c r="A45">
        <v>46220</v>
      </c>
      <c r="B45" t="s">
        <v>89</v>
      </c>
      <c r="C45" t="s">
        <v>7</v>
      </c>
      <c r="D45" t="s">
        <v>20</v>
      </c>
      <c r="E45" t="s">
        <v>35</v>
      </c>
      <c r="F45" t="s">
        <v>36</v>
      </c>
      <c r="G45" t="s">
        <v>8</v>
      </c>
      <c r="H45">
        <v>6</v>
      </c>
      <c r="I45">
        <v>399</v>
      </c>
      <c r="J45">
        <v>155</v>
      </c>
      <c r="K45">
        <f t="shared" si="0"/>
        <v>2394</v>
      </c>
      <c r="L45">
        <f t="shared" si="1"/>
        <v>930</v>
      </c>
      <c r="M45">
        <f t="shared" si="2"/>
        <v>1464</v>
      </c>
      <c r="N45">
        <f t="shared" si="3"/>
        <v>0.611528822055138</v>
      </c>
    </row>
    <row r="46" spans="1:14">
      <c r="A46">
        <v>46221</v>
      </c>
      <c r="B46" t="s">
        <v>90</v>
      </c>
      <c r="C46" t="s">
        <v>7</v>
      </c>
      <c r="D46" t="s">
        <v>20</v>
      </c>
      <c r="E46" t="s">
        <v>35</v>
      </c>
      <c r="F46" t="s">
        <v>36</v>
      </c>
      <c r="G46" t="s">
        <v>8</v>
      </c>
      <c r="H46">
        <v>3</v>
      </c>
      <c r="I46">
        <v>399</v>
      </c>
      <c r="J46">
        <v>155</v>
      </c>
      <c r="K46">
        <f t="shared" si="0"/>
        <v>1197</v>
      </c>
      <c r="L46">
        <f t="shared" si="1"/>
        <v>465</v>
      </c>
      <c r="M46">
        <f t="shared" si="2"/>
        <v>732</v>
      </c>
      <c r="N46">
        <f t="shared" si="3"/>
        <v>0.611528822055138</v>
      </c>
    </row>
    <row r="47" spans="1:14">
      <c r="A47">
        <v>46221</v>
      </c>
      <c r="B47" t="s">
        <v>91</v>
      </c>
      <c r="C47" t="s">
        <v>5</v>
      </c>
      <c r="D47" t="s">
        <v>19</v>
      </c>
      <c r="E47" t="s">
        <v>55</v>
      </c>
      <c r="F47" t="s">
        <v>56</v>
      </c>
      <c r="G47" t="s">
        <v>6</v>
      </c>
      <c r="H47">
        <v>1</v>
      </c>
      <c r="I47">
        <v>1599</v>
      </c>
      <c r="J47">
        <v>790</v>
      </c>
      <c r="K47">
        <f t="shared" si="0"/>
        <v>1599</v>
      </c>
      <c r="L47">
        <f t="shared" si="1"/>
        <v>790</v>
      </c>
      <c r="M47">
        <f t="shared" si="2"/>
        <v>809</v>
      </c>
      <c r="N47">
        <f t="shared" si="3"/>
        <v>0.505941213258286</v>
      </c>
    </row>
    <row r="48" spans="1:14">
      <c r="A48">
        <v>46221</v>
      </c>
      <c r="B48" t="s">
        <v>92</v>
      </c>
      <c r="C48" t="s">
        <v>9</v>
      </c>
      <c r="D48" t="s">
        <v>20</v>
      </c>
      <c r="E48" t="s">
        <v>59</v>
      </c>
      <c r="F48" t="s">
        <v>56</v>
      </c>
      <c r="G48" t="s">
        <v>6</v>
      </c>
      <c r="H48">
        <v>3</v>
      </c>
      <c r="I48">
        <v>899</v>
      </c>
      <c r="J48">
        <v>420</v>
      </c>
      <c r="K48">
        <f t="shared" si="0"/>
        <v>2697</v>
      </c>
      <c r="L48">
        <f t="shared" si="1"/>
        <v>1260</v>
      </c>
      <c r="M48">
        <f t="shared" si="2"/>
        <v>1437</v>
      </c>
      <c r="N48">
        <f t="shared" si="3"/>
        <v>0.532814238042269</v>
      </c>
    </row>
    <row r="49" spans="1:14">
      <c r="A49">
        <v>46221</v>
      </c>
      <c r="B49" t="s">
        <v>93</v>
      </c>
      <c r="C49" t="s">
        <v>15</v>
      </c>
      <c r="D49" t="s">
        <v>19</v>
      </c>
      <c r="E49" t="s">
        <v>49</v>
      </c>
      <c r="F49" t="s">
        <v>39</v>
      </c>
      <c r="G49" t="s">
        <v>8</v>
      </c>
      <c r="H49">
        <v>1</v>
      </c>
      <c r="I49">
        <v>1299</v>
      </c>
      <c r="J49">
        <v>680</v>
      </c>
      <c r="K49">
        <f t="shared" si="0"/>
        <v>1299</v>
      </c>
      <c r="L49">
        <f t="shared" si="1"/>
        <v>680</v>
      </c>
      <c r="M49">
        <f t="shared" si="2"/>
        <v>619</v>
      </c>
      <c r="N49">
        <f t="shared" si="3"/>
        <v>0.476520400307929</v>
      </c>
    </row>
    <row r="50" spans="1:14">
      <c r="A50">
        <v>46221</v>
      </c>
      <c r="B50" t="s">
        <v>94</v>
      </c>
      <c r="C50" t="s">
        <v>15</v>
      </c>
      <c r="D50" t="s">
        <v>19</v>
      </c>
      <c r="E50" t="s">
        <v>49</v>
      </c>
      <c r="F50" t="s">
        <v>39</v>
      </c>
      <c r="G50" t="s">
        <v>8</v>
      </c>
      <c r="H50">
        <v>2</v>
      </c>
      <c r="I50">
        <v>1169.1</v>
      </c>
      <c r="J50">
        <v>680</v>
      </c>
      <c r="K50">
        <f t="shared" si="0"/>
        <v>2338.2</v>
      </c>
      <c r="L50">
        <f t="shared" si="1"/>
        <v>1360</v>
      </c>
      <c r="M50">
        <f t="shared" si="2"/>
        <v>978.2</v>
      </c>
      <c r="N50">
        <f t="shared" si="3"/>
        <v>0.418356000342144</v>
      </c>
    </row>
    <row r="51" spans="1:14">
      <c r="A51">
        <v>46221</v>
      </c>
      <c r="B51" t="s">
        <v>95</v>
      </c>
      <c r="C51" t="s">
        <v>13</v>
      </c>
      <c r="D51" t="s">
        <v>22</v>
      </c>
      <c r="E51" t="s">
        <v>67</v>
      </c>
      <c r="F51" t="s">
        <v>56</v>
      </c>
      <c r="G51" t="s">
        <v>6</v>
      </c>
      <c r="H51">
        <v>1</v>
      </c>
      <c r="I51">
        <v>1899</v>
      </c>
      <c r="J51">
        <v>980</v>
      </c>
      <c r="K51">
        <f t="shared" si="0"/>
        <v>1899</v>
      </c>
      <c r="L51">
        <f t="shared" si="1"/>
        <v>980</v>
      </c>
      <c r="M51">
        <f t="shared" si="2"/>
        <v>919</v>
      </c>
      <c r="N51">
        <f t="shared" si="3"/>
        <v>0.483938915218536</v>
      </c>
    </row>
    <row r="52" spans="1:14">
      <c r="A52">
        <v>46222</v>
      </c>
      <c r="B52" t="s">
        <v>96</v>
      </c>
      <c r="C52" t="s">
        <v>16</v>
      </c>
      <c r="D52" t="s">
        <v>22</v>
      </c>
      <c r="E52" t="s">
        <v>46</v>
      </c>
      <c r="F52" t="s">
        <v>47</v>
      </c>
      <c r="G52" t="s">
        <v>12</v>
      </c>
      <c r="H52">
        <v>2</v>
      </c>
      <c r="I52">
        <v>999</v>
      </c>
      <c r="J52">
        <v>520</v>
      </c>
      <c r="K52">
        <f t="shared" si="0"/>
        <v>1998</v>
      </c>
      <c r="L52">
        <f t="shared" si="1"/>
        <v>1040</v>
      </c>
      <c r="M52">
        <f t="shared" si="2"/>
        <v>958</v>
      </c>
      <c r="N52">
        <f t="shared" si="3"/>
        <v>0.479479479479479</v>
      </c>
    </row>
    <row r="53" spans="1:14">
      <c r="A53">
        <v>46222</v>
      </c>
      <c r="B53" t="s">
        <v>97</v>
      </c>
      <c r="C53" t="s">
        <v>5</v>
      </c>
      <c r="D53" t="s">
        <v>19</v>
      </c>
      <c r="E53" t="s">
        <v>55</v>
      </c>
      <c r="F53" t="s">
        <v>56</v>
      </c>
      <c r="G53" t="s">
        <v>6</v>
      </c>
      <c r="H53">
        <v>1</v>
      </c>
      <c r="I53">
        <v>1519.05</v>
      </c>
      <c r="J53">
        <v>790</v>
      </c>
      <c r="K53">
        <f t="shared" si="0"/>
        <v>1519.05</v>
      </c>
      <c r="L53">
        <f t="shared" si="1"/>
        <v>790</v>
      </c>
      <c r="M53">
        <f t="shared" si="2"/>
        <v>729.05</v>
      </c>
      <c r="N53">
        <f t="shared" si="3"/>
        <v>0.479938119219249</v>
      </c>
    </row>
    <row r="54" spans="1:14">
      <c r="A54">
        <v>46222</v>
      </c>
      <c r="B54" t="s">
        <v>98</v>
      </c>
      <c r="C54" t="s">
        <v>13</v>
      </c>
      <c r="D54" t="s">
        <v>22</v>
      </c>
      <c r="E54" t="s">
        <v>67</v>
      </c>
      <c r="F54" t="s">
        <v>56</v>
      </c>
      <c r="G54" t="s">
        <v>6</v>
      </c>
      <c r="H54">
        <v>2</v>
      </c>
      <c r="I54">
        <v>1899</v>
      </c>
      <c r="J54">
        <v>980</v>
      </c>
      <c r="K54">
        <f t="shared" si="0"/>
        <v>3798</v>
      </c>
      <c r="L54">
        <f t="shared" si="1"/>
        <v>1960</v>
      </c>
      <c r="M54">
        <f t="shared" si="2"/>
        <v>1838</v>
      </c>
      <c r="N54">
        <f t="shared" si="3"/>
        <v>0.483938915218536</v>
      </c>
    </row>
    <row r="55" spans="1:14">
      <c r="A55">
        <v>46223</v>
      </c>
      <c r="B55" t="s">
        <v>99</v>
      </c>
      <c r="C55" t="s">
        <v>9</v>
      </c>
      <c r="D55" t="s">
        <v>20</v>
      </c>
      <c r="E55" t="s">
        <v>59</v>
      </c>
      <c r="F55" t="s">
        <v>56</v>
      </c>
      <c r="G55" t="s">
        <v>6</v>
      </c>
      <c r="H55">
        <v>3</v>
      </c>
      <c r="I55">
        <v>854.05</v>
      </c>
      <c r="J55">
        <v>420</v>
      </c>
      <c r="K55">
        <f t="shared" si="0"/>
        <v>2562.15</v>
      </c>
      <c r="L55">
        <f t="shared" si="1"/>
        <v>1260</v>
      </c>
      <c r="M55">
        <f t="shared" si="2"/>
        <v>1302.15</v>
      </c>
      <c r="N55">
        <f t="shared" si="3"/>
        <v>0.508225513728704</v>
      </c>
    </row>
    <row r="56" spans="1:14">
      <c r="A56">
        <v>46224</v>
      </c>
      <c r="B56" t="s">
        <v>100</v>
      </c>
      <c r="C56" t="s">
        <v>7</v>
      </c>
      <c r="D56" t="s">
        <v>20</v>
      </c>
      <c r="E56" t="s">
        <v>35</v>
      </c>
      <c r="F56" t="s">
        <v>36</v>
      </c>
      <c r="G56" t="s">
        <v>8</v>
      </c>
      <c r="H56">
        <v>1</v>
      </c>
      <c r="I56">
        <v>399</v>
      </c>
      <c r="J56">
        <v>155</v>
      </c>
      <c r="K56">
        <f t="shared" si="0"/>
        <v>399</v>
      </c>
      <c r="L56">
        <f t="shared" si="1"/>
        <v>155</v>
      </c>
      <c r="M56">
        <f t="shared" si="2"/>
        <v>244</v>
      </c>
      <c r="N56">
        <f t="shared" si="3"/>
        <v>0.611528822055138</v>
      </c>
    </row>
    <row r="57" spans="1:14">
      <c r="A57">
        <v>46224</v>
      </c>
      <c r="B57" t="s">
        <v>101</v>
      </c>
      <c r="C57" t="s">
        <v>16</v>
      </c>
      <c r="D57" t="s">
        <v>22</v>
      </c>
      <c r="E57" t="s">
        <v>46</v>
      </c>
      <c r="F57" t="s">
        <v>47</v>
      </c>
      <c r="G57" t="s">
        <v>12</v>
      </c>
      <c r="H57">
        <v>2</v>
      </c>
      <c r="I57">
        <v>899.1</v>
      </c>
      <c r="J57">
        <v>520</v>
      </c>
      <c r="K57">
        <f t="shared" si="0"/>
        <v>1798.2</v>
      </c>
      <c r="L57">
        <f t="shared" si="1"/>
        <v>1040</v>
      </c>
      <c r="M57">
        <f t="shared" si="2"/>
        <v>758.2</v>
      </c>
      <c r="N57">
        <f t="shared" si="3"/>
        <v>0.421643866088311</v>
      </c>
    </row>
    <row r="58" spans="1:14">
      <c r="A58">
        <v>46224</v>
      </c>
      <c r="B58" t="s">
        <v>102</v>
      </c>
      <c r="C58" t="s">
        <v>13</v>
      </c>
      <c r="D58" t="s">
        <v>22</v>
      </c>
      <c r="E58" t="s">
        <v>67</v>
      </c>
      <c r="F58" t="s">
        <v>56</v>
      </c>
      <c r="G58" t="s">
        <v>6</v>
      </c>
      <c r="H58">
        <v>1</v>
      </c>
      <c r="I58">
        <v>1899</v>
      </c>
      <c r="J58">
        <v>980</v>
      </c>
      <c r="K58">
        <f t="shared" si="0"/>
        <v>1899</v>
      </c>
      <c r="L58">
        <f t="shared" si="1"/>
        <v>980</v>
      </c>
      <c r="M58">
        <f t="shared" si="2"/>
        <v>919</v>
      </c>
      <c r="N58">
        <f t="shared" si="3"/>
        <v>0.483938915218536</v>
      </c>
    </row>
    <row r="59" spans="1:14">
      <c r="A59">
        <v>46224</v>
      </c>
      <c r="B59" t="s">
        <v>103</v>
      </c>
      <c r="C59" t="s">
        <v>5</v>
      </c>
      <c r="D59" t="s">
        <v>19</v>
      </c>
      <c r="E59" t="s">
        <v>55</v>
      </c>
      <c r="F59" t="s">
        <v>56</v>
      </c>
      <c r="G59" t="s">
        <v>6</v>
      </c>
      <c r="H59">
        <v>1</v>
      </c>
      <c r="I59">
        <v>1599</v>
      </c>
      <c r="J59">
        <v>790</v>
      </c>
      <c r="K59">
        <f t="shared" si="0"/>
        <v>1599</v>
      </c>
      <c r="L59">
        <f t="shared" si="1"/>
        <v>790</v>
      </c>
      <c r="M59">
        <f t="shared" si="2"/>
        <v>809</v>
      </c>
      <c r="N59">
        <f t="shared" si="3"/>
        <v>0.505941213258286</v>
      </c>
    </row>
    <row r="60" spans="1:14">
      <c r="A60">
        <v>46224</v>
      </c>
      <c r="B60" t="s">
        <v>104</v>
      </c>
      <c r="C60" t="s">
        <v>17</v>
      </c>
      <c r="D60" t="s">
        <v>21</v>
      </c>
      <c r="E60" t="s">
        <v>74</v>
      </c>
      <c r="F60" t="s">
        <v>36</v>
      </c>
      <c r="G60" t="s">
        <v>10</v>
      </c>
      <c r="H60">
        <v>3</v>
      </c>
      <c r="I60">
        <v>269.1</v>
      </c>
      <c r="J60">
        <v>105</v>
      </c>
      <c r="K60">
        <f t="shared" si="0"/>
        <v>807.3</v>
      </c>
      <c r="L60">
        <f t="shared" si="1"/>
        <v>315</v>
      </c>
      <c r="M60">
        <f t="shared" si="2"/>
        <v>492.3</v>
      </c>
      <c r="N60">
        <f t="shared" si="3"/>
        <v>0.609810479375697</v>
      </c>
    </row>
    <row r="61" spans="1:14">
      <c r="A61">
        <v>46224</v>
      </c>
      <c r="B61" t="s">
        <v>105</v>
      </c>
      <c r="C61" t="s">
        <v>9</v>
      </c>
      <c r="D61" t="s">
        <v>20</v>
      </c>
      <c r="E61" t="s">
        <v>59</v>
      </c>
      <c r="F61" t="s">
        <v>56</v>
      </c>
      <c r="G61" t="s">
        <v>6</v>
      </c>
      <c r="H61">
        <v>2</v>
      </c>
      <c r="I61">
        <v>899</v>
      </c>
      <c r="J61">
        <v>420</v>
      </c>
      <c r="K61">
        <f t="shared" si="0"/>
        <v>1798</v>
      </c>
      <c r="L61">
        <f t="shared" si="1"/>
        <v>840</v>
      </c>
      <c r="M61">
        <f t="shared" si="2"/>
        <v>958</v>
      </c>
      <c r="N61">
        <f t="shared" si="3"/>
        <v>0.532814238042269</v>
      </c>
    </row>
  </sheetData>
  <conditionalFormatting sqref="M2:M61">
    <cfRule type="dataBar" priority="1">
      <dataBar>
        <cfvo type="min"/>
        <cfvo type="max"/>
        <color rgb="FF60A5FA"/>
      </dataBar>
      <extLst>
        <ext xmlns:x14="http://schemas.microsoft.com/office/spreadsheetml/2009/9/main" uri="{B025F937-C7B1-47D3-B67F-A62EFF666E3E}">
          <x14:id>{0cf460a7-def7-4e55-bdcd-15aa6774be4d}</x14:id>
        </ext>
      </extLst>
    </cfRule>
  </conditionalFormatting>
  <conditionalFormatting sqref="N2:N61">
    <cfRule type="cellIs" dxfId="0" priority="2" operator="lessThan">
      <formula>0.35</formula>
    </cfRule>
  </conditionalFormatting>
  <pageMargins left="0.7" right="0.7" top="0.75" bottom="0.75" header="0.3" footer="0.3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f460a7-def7-4e55-bdcd-15aa6774be4d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M2:M61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分析</vt:lpstr>
      <vt:lpstr>练习数据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李文青</cp:lastModifiedBy>
  <dcterms:created xsi:type="dcterms:W3CDTF">2026-07-07T05:30:37Z</dcterms:created>
  <dcterms:modified xsi:type="dcterms:W3CDTF">2026-07-07T06:52:37Z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2B4278138FD34934AA59ABE417EFEFC5_13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